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https://uccl0-my.sharepoint.com/personal/cgoicb_uc_cl/Documents/CECAN/07 Secretaría Publicaciones/Registro Publicaciones/"/>
    </mc:Choice>
  </mc:AlternateContent>
  <xr:revisionPtr revIDLastSave="17" documentId="13_ncr:1_{AB5E8091-609F-4070-B0DC-A4F592CDB230}" xr6:coauthVersionLast="47" xr6:coauthVersionMax="47" xr10:uidLastSave="{A51B325F-825E-3A4B-87FD-F17E2CFDE755}"/>
  <bookViews>
    <workbookView xWindow="14600" yWindow="700" windowWidth="23520" windowHeight="14980" tabRatio="877" firstSheet="3" activeTab="4" xr2:uid="{00000000-000D-0000-FFFF-FFFF00000000}"/>
  </bookViews>
  <sheets>
    <sheet name="Presupuestos" sheetId="13" r:id="rId1"/>
    <sheet name="Resumen publicaciones" sheetId="23" r:id="rId2"/>
    <sheet name="Resumen publ por WP" sheetId="20" r:id="rId3"/>
    <sheet name="Publicaciones año 4-2026" sheetId="24" r:id="rId4"/>
    <sheet name=" Publicaciones año 3" sheetId="12" r:id="rId5"/>
    <sheet name=" Publicaciones año 2" sheetId="11" r:id="rId6"/>
    <sheet name=" Publicaciones año 1" sheetId="10" r:id="rId7"/>
    <sheet name="Otras Publicaciones" sheetId="4" r:id="rId8"/>
    <sheet name="Capítulos de Libros " sheetId="3" r:id="rId9"/>
    <sheet name="Info Avance 2024 ANID" sheetId="9" r:id="rId10"/>
    <sheet name="Libros " sheetId="2" r:id="rId11"/>
  </sheets>
  <definedNames>
    <definedName name="_xlnm._FilterDatabase" localSheetId="6" hidden="1">' Publicaciones año 1'!$A$4:$AP$28</definedName>
    <definedName name="_xlnm._FilterDatabase" localSheetId="5" hidden="1">' Publicaciones año 2'!$A$6:$MJ$40</definedName>
    <definedName name="_xlnm._FilterDatabase" localSheetId="4" hidden="1">' Publicaciones año 3'!$B$7:$AJ$91</definedName>
    <definedName name="_xlnm._FilterDatabase" localSheetId="7" hidden="1">'Otras Publicaciones'!$G$2:$Y$61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91" i="12" l="1"/>
  <c r="C31" i="13" s="1"/>
  <c r="H25" i="10" l="1"/>
  <c r="I89" i="12"/>
  <c r="G9" i="23" s="1"/>
  <c r="D8" i="23" l="1"/>
  <c r="D7" i="23"/>
  <c r="E7" i="23" s="1"/>
  <c r="C78" i="20"/>
  <c r="C77" i="20"/>
  <c r="C76" i="20"/>
  <c r="C75" i="20"/>
  <c r="C74" i="20"/>
  <c r="C17" i="20"/>
  <c r="C16" i="20"/>
  <c r="C15" i="20"/>
  <c r="C14" i="20"/>
  <c r="C13" i="20"/>
  <c r="C48" i="20"/>
  <c r="C47" i="20"/>
  <c r="C46" i="20"/>
  <c r="C45" i="20"/>
  <c r="C44" i="20"/>
  <c r="E38" i="11"/>
  <c r="C37" i="20" s="1"/>
  <c r="E25" i="10"/>
  <c r="C6" i="20" s="1"/>
  <c r="C89" i="20"/>
  <c r="C59" i="20"/>
  <c r="C25" i="20"/>
  <c r="C28" i="20" s="1"/>
  <c r="D9" i="23"/>
  <c r="I5" i="13"/>
  <c r="I49" i="13"/>
  <c r="I45" i="13"/>
  <c r="I44" i="13"/>
  <c r="E8" i="23" l="1"/>
  <c r="E9" i="23"/>
  <c r="F49" i="20"/>
  <c r="J5" i="20" s="1"/>
  <c r="J6" i="20" s="1"/>
  <c r="C49" i="20"/>
  <c r="F78" i="20"/>
  <c r="K5" i="20" s="1"/>
  <c r="K6" i="20" s="1"/>
  <c r="C79" i="20"/>
  <c r="C38" i="20"/>
  <c r="F16" i="20"/>
  <c r="I5" i="20" s="1"/>
  <c r="I6" i="20" s="1"/>
  <c r="C18" i="20"/>
  <c r="C7" i="20"/>
  <c r="C66" i="20" l="1"/>
  <c r="L90" i="12"/>
  <c r="H9" i="23" l="1"/>
  <c r="I50" i="13"/>
  <c r="I46" i="13"/>
  <c r="I6" i="13" s="1"/>
  <c r="H89" i="12" l="1"/>
  <c r="F9" i="23" s="1"/>
  <c r="F89" i="12" l="1"/>
  <c r="C67" i="20" s="1"/>
  <c r="C68" i="20" s="1"/>
  <c r="N90" i="12" l="1"/>
  <c r="I9" i="23" s="1"/>
  <c r="AB24" i="12" l="1"/>
  <c r="AB25" i="12" s="1"/>
  <c r="AB26" i="12" s="1"/>
  <c r="AB27" i="12" s="1"/>
  <c r="AB28" i="12" s="1"/>
  <c r="AB29" i="12" s="1"/>
  <c r="AB30" i="12" s="1"/>
  <c r="AB31" i="12" s="1"/>
  <c r="AB32" i="12" s="1"/>
  <c r="AB33" i="12" s="1"/>
  <c r="AB34" i="12" s="1"/>
  <c r="AB35" i="12" s="1"/>
  <c r="AB36" i="12" s="1"/>
  <c r="AB37" i="12" s="1"/>
  <c r="AB38" i="12" s="1"/>
  <c r="AB39" i="12" s="1"/>
  <c r="AB40" i="12" s="1"/>
  <c r="AB41" i="12" s="1"/>
  <c r="AB42" i="12" s="1"/>
  <c r="AB43" i="12" s="1"/>
  <c r="AB44" i="12" s="1"/>
  <c r="AB45" i="12" s="1"/>
  <c r="I4" i="13"/>
  <c r="E34" i="13" l="1"/>
  <c r="C34" i="13"/>
  <c r="E35" i="13"/>
  <c r="C9" i="13"/>
  <c r="C35" i="13" l="1"/>
  <c r="C21" i="13" l="1"/>
  <c r="E21" i="13"/>
  <c r="E22" i="13"/>
  <c r="AF30" i="10"/>
  <c r="Z11" i="12"/>
  <c r="Z9" i="12"/>
  <c r="Z8" i="12"/>
  <c r="Q38" i="11"/>
  <c r="O38" i="11"/>
  <c r="AD35" i="11"/>
  <c r="AD28" i="11"/>
  <c r="AD20" i="11"/>
  <c r="AD19" i="11"/>
  <c r="AD18" i="11"/>
  <c r="AD13" i="11"/>
  <c r="AD11" i="11"/>
  <c r="S25" i="10"/>
  <c r="I7" i="23" s="1"/>
  <c r="Q25" i="10"/>
  <c r="H7" i="23" s="1"/>
  <c r="I8" i="23" l="1"/>
  <c r="H8" i="23"/>
  <c r="AD38" i="11"/>
  <c r="AD40" i="11" s="1"/>
  <c r="I9" i="13"/>
  <c r="C22" i="13"/>
  <c r="AF11" i="11"/>
  <c r="AF12" i="11" s="1"/>
  <c r="AF13" i="11" s="1"/>
  <c r="AF14" i="11" s="1"/>
  <c r="AF15" i="11" s="1"/>
  <c r="AF16" i="11" s="1"/>
  <c r="AF17" i="11" s="1"/>
  <c r="AF18" i="11" s="1"/>
  <c r="AF19" i="11" s="1"/>
  <c r="AF20" i="11" s="1"/>
  <c r="AF21" i="11" s="1"/>
  <c r="AF22" i="11" s="1"/>
  <c r="AF23" i="11" s="1"/>
  <c r="AF24" i="11" s="1"/>
  <c r="AF25" i="11" s="1"/>
  <c r="AF26" i="11" s="1"/>
  <c r="AF27" i="11" s="1"/>
  <c r="AF28" i="11" s="1"/>
  <c r="AF29" i="11" s="1"/>
  <c r="AF30" i="11" s="1"/>
  <c r="AF31" i="11" s="1"/>
  <c r="AF32" i="11" s="1"/>
  <c r="AF33" i="11" s="1"/>
  <c r="AF34" i="11" s="1"/>
  <c r="AF35" i="11" s="1"/>
  <c r="AF36" i="11" s="1"/>
  <c r="AF37" i="11" s="1"/>
  <c r="I53" i="9" l="1"/>
  <c r="H53" i="9"/>
  <c r="G53" i="9"/>
  <c r="AD57" i="4" l="1"/>
  <c r="AD2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 Carolina Cabrera V.</author>
  </authors>
  <commentList>
    <comment ref="X20" authorId="0" shapeId="0" xr:uid="{0AC658A6-8F39-49CA-A2E3-D1CA12BE6A50}">
      <text>
        <r>
          <rPr>
            <sz val="9"/>
            <color indexed="81"/>
            <rFont val="Tahoma"/>
            <family val="2"/>
          </rPr>
          <t xml:space="preserve">No se aprueba financiamiento
</t>
        </r>
      </text>
    </comment>
    <comment ref="X21" authorId="0" shapeId="0" xr:uid="{286A5509-1EC3-48A8-BA89-E6FBC70B4946}">
      <text>
        <r>
          <rPr>
            <sz val="9"/>
            <color indexed="81"/>
            <rFont val="Tahoma"/>
            <family val="2"/>
          </rPr>
          <t xml:space="preserve">No se aprueba financiamiento
</t>
        </r>
      </text>
    </comment>
    <comment ref="J26" authorId="0" shapeId="0" xr:uid="{F3CA16B0-E288-4E41-B569-C8879B8381BB}">
      <text>
        <r>
          <rPr>
            <b/>
            <sz val="9"/>
            <color indexed="81"/>
            <rFont val="Tahoma"/>
            <family val="2"/>
          </rPr>
          <t>M. Carolina Cabrera V.:</t>
        </r>
        <r>
          <rPr>
            <sz val="9"/>
            <color indexed="81"/>
            <rFont val="Tahoma"/>
            <family val="2"/>
          </rPr>
          <t xml:space="preserve">
No dice CECAN en Funding
</t>
        </r>
      </text>
    </comment>
    <comment ref="Y32" authorId="0" shapeId="0" xr:uid="{D1183AB4-CF06-476C-A8E4-E4C0B381D606}">
      <text>
        <r>
          <rPr>
            <sz val="9"/>
            <color indexed="81"/>
            <rFont val="Tahoma"/>
            <family val="2"/>
          </rPr>
          <t xml:space="preserve">Se financia el 50% de USD 3446,42 = USD 1723,21
</t>
        </r>
      </text>
    </comment>
  </commentList>
</comments>
</file>

<file path=xl/sharedStrings.xml><?xml version="1.0" encoding="utf-8"?>
<sst xmlns="http://schemas.openxmlformats.org/spreadsheetml/2006/main" count="2089" uniqueCount="1241">
  <si>
    <t>PRESUPUESTO 2023</t>
  </si>
  <si>
    <t>PRESUPUESTO 2024</t>
  </si>
  <si>
    <t>PRESUPUESTO UCH</t>
  </si>
  <si>
    <t>17 pub. Inf. Avance 1-2023</t>
  </si>
  <si>
    <t>11 financiadas</t>
  </si>
  <si>
    <t>10 financiadas (100%) 3 financiadas (50%)</t>
  </si>
  <si>
    <t>POR GASTAR</t>
  </si>
  <si>
    <t>WP</t>
  </si>
  <si>
    <t>Nr. publicaciones</t>
  </si>
  <si>
    <t>Q1</t>
  </si>
  <si>
    <t>Ppto WP- 2023</t>
  </si>
  <si>
    <t>Ppto WP- 2024</t>
  </si>
  <si>
    <t>WP-1</t>
  </si>
  <si>
    <t>WP-2</t>
  </si>
  <si>
    <t>WP-3</t>
  </si>
  <si>
    <t>WP-4</t>
  </si>
  <si>
    <t>WP-5</t>
  </si>
  <si>
    <t>TOTAL</t>
  </si>
  <si>
    <t>* incluye M$150.000</t>
  </si>
  <si>
    <t>PUBLICACIONES CIENTIFICAS</t>
  </si>
  <si>
    <t>PUBLICACIONES</t>
  </si>
  <si>
    <t>17 publicaciones</t>
  </si>
  <si>
    <t>REGISTRO DE PUBLICACIONES</t>
  </si>
  <si>
    <t>ENVIAR PDF DE LA PUBLICACION A  ccabrerav@uc.cl  con copia a cgoicb@uc.cl y a cecan@uc.cl</t>
  </si>
  <si>
    <t>Los casilleros de este color deben ser llenados cuando la publicacion  se haya relizado</t>
  </si>
  <si>
    <t xml:space="preserve">Completar para solicitud de  financiamiento </t>
  </si>
  <si>
    <t>Saldo UC</t>
  </si>
  <si>
    <t>Saldo UCH</t>
  </si>
  <si>
    <t xml:space="preserve">COMPLETAR CUANDO EL PAPER HA SIDO PUBLICADO </t>
  </si>
  <si>
    <t>Nr.</t>
  </si>
  <si>
    <t>WP consignado</t>
  </si>
  <si>
    <t>ISI Q1-Q4</t>
  </si>
  <si>
    <t>Nombre publicación</t>
  </si>
  <si>
    <t>Autores</t>
  </si>
  <si>
    <t>Número Investigadores CECAN</t>
  </si>
  <si>
    <r>
      <t>Nombre investigadores CECAN</t>
    </r>
    <r>
      <rPr>
        <sz val="11"/>
        <color theme="1"/>
        <rFont val="Calibri"/>
        <family val="2"/>
        <scheme val="minor"/>
      </rPr>
      <t xml:space="preserve"> (Debe incluir 2 ó más)</t>
    </r>
  </si>
  <si>
    <t>Nombre Investigadores Asociados CECAN participante</t>
  </si>
  <si>
    <t>Nombre Postdoc CECAN participante</t>
  </si>
  <si>
    <t>Nombre Tesistas CECAN participante</t>
  </si>
  <si>
    <t>Nombre investigadores externos</t>
  </si>
  <si>
    <t>Publicación con Institución Internacional</t>
  </si>
  <si>
    <t>Publicación con Institución Nacional</t>
  </si>
  <si>
    <r>
      <t xml:space="preserve">Objetivo Directo/ Asociado CECAN  </t>
    </r>
    <r>
      <rPr>
        <sz val="11"/>
        <color theme="1"/>
        <rFont val="Calibri"/>
        <family val="2"/>
        <scheme val="minor"/>
      </rPr>
      <t>(Identifíquelo Ej: WP-1 proyecto 1)</t>
    </r>
  </si>
  <si>
    <t>Funding %</t>
  </si>
  <si>
    <t xml:space="preserve">Estado de la Publicación </t>
  </si>
  <si>
    <r>
      <t xml:space="preserve">Fecha estimada de publicación </t>
    </r>
    <r>
      <rPr>
        <sz val="11"/>
        <color theme="1"/>
        <rFont val="Calibri"/>
        <family val="2"/>
        <scheme val="minor"/>
      </rPr>
      <t>(En preparación/enviada)</t>
    </r>
  </si>
  <si>
    <t>Invoice Nr.</t>
  </si>
  <si>
    <t>Fecha Invoice</t>
  </si>
  <si>
    <t>Revista</t>
  </si>
  <si>
    <t>Financiamiento CECAN</t>
  </si>
  <si>
    <t>Solicitud de apoyo solicitado por</t>
  </si>
  <si>
    <t>Nr. Solicitud de apoyo</t>
  </si>
  <si>
    <t xml:space="preserve">Valor Publicación revista </t>
  </si>
  <si>
    <t>Valor $  pagado por UC</t>
  </si>
  <si>
    <t>Valor $  pagado por UCH</t>
  </si>
  <si>
    <t>Fecha de publicación</t>
  </si>
  <si>
    <t>Volúmen. Pág. Inicio y final</t>
  </si>
  <si>
    <t>DOI</t>
  </si>
  <si>
    <t>ISSN</t>
  </si>
  <si>
    <t>Nr. Productividad</t>
  </si>
  <si>
    <t>Link paper</t>
  </si>
  <si>
    <t>Informado en Informe de Avance</t>
  </si>
  <si>
    <t xml:space="preserve"> 1-2</t>
  </si>
  <si>
    <t>Q3</t>
  </si>
  <si>
    <t>“Appagalo” a Customized Mobile Health Intervention (mHealth) for Smoking Cessation in Women: A Randomized Controlled Trial</t>
  </si>
  <si>
    <t>5Smoking Cessation Program, Christus UC Medical Network, Santiago,
Chile. 6Smoking Cessation Program, Servicio de Salud Metropolitano Sur Oriente, Santiago</t>
  </si>
  <si>
    <t>Tobacco Use Insights</t>
  </si>
  <si>
    <t>No</t>
  </si>
  <si>
    <t>16. 1-14</t>
  </si>
  <si>
    <t>DOI: 10.1177/1179173X231152316</t>
  </si>
  <si>
    <t>1179-173X</t>
  </si>
  <si>
    <t>https://pubmed.ncbi.nlm.nih.gov/36844174/</t>
  </si>
  <si>
    <t>The Clinical Impact and Cost-Effectiveness of Surveillance of Incidentally-Detected Gastric Intestinal Metaplasia: A Microsimulation Analyses</t>
  </si>
  <si>
    <r>
      <t xml:space="preserve">Nikhil R Thiruvengadam, Shashank Gupta, Seth Buller, Imad Awad, Devika Gandhi, Allison Ibarra, Gonzalo Latorre, </t>
    </r>
    <r>
      <rPr>
        <b/>
        <sz val="11"/>
        <color theme="1"/>
        <rFont val="Calibri"/>
        <family val="2"/>
        <scheme val="minor"/>
      </rPr>
      <t>Arnoldo Riquelme</t>
    </r>
    <r>
      <rPr>
        <sz val="11"/>
        <color theme="1"/>
        <rFont val="Calibri"/>
        <family val="2"/>
        <scheme val="minor"/>
      </rPr>
      <t>, Michael L Kochman, Gregory Cote, Shailja C Shah, Monica Saumoy</t>
    </r>
  </si>
  <si>
    <t>1Division of Gastroenterology and Hepatology, Loma Linda University Health, Loma Linda, California; 2Department of Medicine,
Loma Linda University Health, Loma Linda, California; 3Loma Linda University School of Medicine, Loma Linda, California;
4Division of Gastroenterology, University of California San Diego, San Diego, California7Division of Gastroenterology and Hepatology, Perelman School of Medicine, Philadelphia,
Pennsylvania; 8Division of Gastroenterology and Hepatology, Oregon Health &amp; Science University, Portland, Oregon;
9Gastroenterology Section, Veterans Affairs San Diego Healthcare System, San Diego, California; and 10Center for Digestive
Health, Penn Medicine Princeton Medical Center, Plainsboro, New Jersey;</t>
  </si>
  <si>
    <t>Gastroenterología y Hepatología</t>
  </si>
  <si>
    <t>451-452</t>
  </si>
  <si>
    <t>doi: 10.1016/j.cgh.2023.05.028</t>
  </si>
  <si>
    <t>1542-3565</t>
  </si>
  <si>
    <t>https://pubmed.ncbi.nlm.nih.gov/37302442/</t>
  </si>
  <si>
    <t xml:space="preserve"> 2-3</t>
  </si>
  <si>
    <t>Implementation of the Updated Sydney System biopsy protocol improves the diagnostic yield of gastric preneoplastic conditions: results from a real-world study</t>
  </si>
  <si>
    <r>
      <t>Gonzalo Latorre 1, José Ignacio Vargas 1, Shailja C Shah 2, Danisa Ivanovic-Zuvic 3, Pablo Achurra 4, Martín Fritzsche 5, Jai-Sen Leung 5, Bernardita Ramos 5, Elisa Jensen 5, Javier Uribe 1, Isabella Montero 5, Vicente Gandara 5, Camila Robles 5, Miguel Bustamante 5, Felipe Silva 5, Eitan Dukes 5, Oscar Corsi 1, Francisca Martínez 5, Victoria Binder 5, Roberto Candia 1, Robinson González 1, Alberto Espino 1, Carlos Agüero 1, Allan Sharp 4, Javiera Torres 6, J</t>
    </r>
    <r>
      <rPr>
        <b/>
        <sz val="9"/>
        <color theme="1"/>
        <rFont val="Calibri"/>
        <family val="2"/>
        <scheme val="minor"/>
      </rPr>
      <t>uan Carlos Roa</t>
    </r>
    <r>
      <rPr>
        <sz val="9"/>
        <color theme="1"/>
        <rFont val="Calibri"/>
        <family val="2"/>
        <scheme val="minor"/>
      </rPr>
      <t xml:space="preserve"> 7, Margarita Pizarro 1, Alejandro H Corvalan 8, Charles S Rabkin 9, M Constanza Camargo 9, </t>
    </r>
    <r>
      <rPr>
        <b/>
        <sz val="9"/>
        <color theme="1"/>
        <rFont val="Calibri"/>
        <family val="2"/>
        <scheme val="minor"/>
      </rPr>
      <t>Arnoldo Riquelme</t>
    </r>
    <r>
      <rPr>
        <sz val="9"/>
        <color theme="1"/>
        <rFont val="Calibri"/>
        <family val="2"/>
        <scheme val="minor"/>
      </rPr>
      <t xml:space="preserve"> 10</t>
    </r>
  </si>
  <si>
    <t>b Gastroenterology Section, Veterans Affairs, San Diego Healthcare System, San Diego, CA, USA
c Division of Gastroenterology, University of California, San Diego, San Diego, CA, USA/ Division of Cancer Epidemiology and Genetics, National Cancer Institute, Rockville, MD, USA</t>
  </si>
  <si>
    <t>Advanced Center for Chronic Diseases (ACCDIS), Santiago, Chile</t>
  </si>
  <si>
    <t>391-396</t>
  </si>
  <si>
    <t>doi: 10.1016/j.gastrohep.2023.08.005</t>
  </si>
  <si>
    <t>1578-9519</t>
  </si>
  <si>
    <t>https://pubmed.ncbi.nlm.nih.gov/37598725/</t>
  </si>
  <si>
    <t>Recommendations for gastric cancer prevention and control in the Americas</t>
  </si>
  <si>
    <r>
      <rPr>
        <b/>
        <sz val="11"/>
        <color theme="1"/>
        <rFont val="Calibri"/>
        <family val="2"/>
        <scheme val="minor"/>
      </rPr>
      <t>Arnoldo Riquelme</t>
    </r>
    <r>
      <rPr>
        <sz val="11"/>
        <color theme="1"/>
        <rFont val="Calibri"/>
        <family val="2"/>
        <scheme val="minor"/>
      </rPr>
      <t xml:space="preserve">,a,b Christian C. Abnet,c Karen J. Goodman,d M. Blanca Piazuelo,e Erika Ruiz-Garcia,f Paulo Pimentel de Assumpção,g and M. Constanza Camargoc,∗ </t>
    </r>
  </si>
  <si>
    <t>cDivision of Cancer Epidemiology and Genetics, National Cancer Institute, Bethesda, Maryland, United States
dFaculty of Medicine and Dentistry, Department of Medicine, University of Alberta, Edmonton, Alberta, Canada
eDivision of Gastroenterology, Hepatology, and Nutrition, Department of Medicine, Vanderbilt University Medical Center, Nashville,
Tennessee, United States
fGastrointestinal Cancer Department and Translational Medicine Laboratory, Instituto Nacional de Cancerología, Mexico City, Mexico
gOncology Research Center, Federal University of Pará, Belém, Pará, Brazil</t>
  </si>
  <si>
    <t>Lancet Regional Health-Amercias</t>
  </si>
  <si>
    <t xml:space="preserve">vol 27 </t>
  </si>
  <si>
    <t>https://doi.org/10.
1016/j.lana.2023.
100608</t>
  </si>
  <si>
    <t>2667-193X</t>
  </si>
  <si>
    <t>https://pubmed.ncbi.nlm.nih.gov/37840576/</t>
  </si>
  <si>
    <t>High Burden of Intestinal Colonization With Antimicrobial-Resistant Bacteria in Chile: An Antibiotic Resistance in Communities and Hospitals (ARCH) Study</t>
  </si>
  <si>
    <r>
      <t xml:space="preserve">Rafael Araos 1 2 3, Rachel M Smith 4, Ashley Styczynski 4, Felipe Sánchez 5, </t>
    </r>
    <r>
      <rPr>
        <b/>
        <sz val="9"/>
        <color theme="1"/>
        <rFont val="Calibri"/>
        <family val="2"/>
        <scheme val="minor"/>
      </rPr>
      <t xml:space="preserve">Johanna Acevedo </t>
    </r>
    <r>
      <rPr>
        <sz val="9"/>
        <color theme="1"/>
        <rFont val="Calibri"/>
        <family val="2"/>
        <scheme val="minor"/>
      </rPr>
      <t>1 6, Lea Maureira 1, Catalina Paredes 1, Maite González 1, Lina Rivas 1 3, Maria Spencer-Sandino 1 3, Anne Peters 1 3, Ayesha Khan 7, Dino Sepulveda 1, Loreto Rojas Wettig 8, María Luisa Rioseco 8, Pedro Usedo 9, Pamela Rojas Soto 10, Laura Andrea Huidobro 11, Catterina Ferreccio 2 12, Benjamin J Park 4, Eduardo Undurraga 3 13 14 15, Erika M C D'Agata 16, Alejandro Jara 17, Jose M Munita 1 3</t>
    </r>
  </si>
  <si>
    <t>Clinical Infectious Diseases</t>
  </si>
  <si>
    <t>1 July 2023</t>
  </si>
  <si>
    <t>77(S1):S75–81</t>
  </si>
  <si>
    <t>https://doi.org/10.1093/cid/ciad283</t>
  </si>
  <si>
    <t>1058-4838</t>
  </si>
  <si>
    <t>https://academic.oup.com/cid/article/77/Supplement_1/S75/7219528</t>
  </si>
  <si>
    <t>Q2</t>
  </si>
  <si>
    <t>A Novel Gemcitabine-Resistant Gallbladder Cancer Model Provides Insights into Molecular Changes Occurring during Acquired Resistance</t>
  </si>
  <si>
    <r>
      <t xml:space="preserve">Luis Vergara-Gómez, </t>
    </r>
    <r>
      <rPr>
        <b/>
        <sz val="11"/>
        <color theme="1"/>
        <rFont val="Calibri"/>
        <family val="2"/>
        <scheme val="minor"/>
      </rPr>
      <t>Carolina Bizama</t>
    </r>
    <r>
      <rPr>
        <sz val="11"/>
        <color theme="1"/>
        <rFont val="Calibri"/>
        <family val="2"/>
        <scheme val="minor"/>
      </rPr>
      <t xml:space="preserve">, Jun Zhong, Kurt Buchegger, Felipe Suárez, Lorena Rosa, Carmen Ili, Helga Weber, Javiera Obreque, Karena Espinoza, Gabriela Repetto, </t>
    </r>
    <r>
      <rPr>
        <b/>
        <sz val="11"/>
        <color theme="1"/>
        <rFont val="Calibri"/>
        <family val="2"/>
        <scheme val="minor"/>
      </rPr>
      <t>Juan C Roa</t>
    </r>
    <r>
      <rPr>
        <sz val="11"/>
        <color theme="1"/>
        <rFont val="Calibri"/>
        <family val="2"/>
        <scheme val="minor"/>
      </rPr>
      <t xml:space="preserve">, Pamela Leal, </t>
    </r>
    <r>
      <rPr>
        <b/>
        <sz val="11"/>
        <color theme="1"/>
        <rFont val="Calibri"/>
        <family val="2"/>
        <scheme val="minor"/>
      </rPr>
      <t>Patricia García</t>
    </r>
  </si>
  <si>
    <t>Delta Omics Biotechnology, Rockville, MD 20855, USA</t>
  </si>
  <si>
    <t>Millennium Institute on Immunology and Immunotherapy (IMII), Pontificia Universidad Católica de Chile,
Santiago</t>
  </si>
  <si>
    <t>MDPI: Int. J. of Molecular Sciences</t>
  </si>
  <si>
    <t>24:7238-725</t>
  </si>
  <si>
    <t>https://doi.org/10.3390/
ijms24087238</t>
  </si>
  <si>
    <t xml:space="preserve">1422-0067 </t>
  </si>
  <si>
    <t>https://pubmed.ncbi.nlm.nih.gov/37108401/</t>
  </si>
  <si>
    <t>Long Non-Coding RNAs (lncRNAs) as Regulators of the PI3K/AKT/mTOR Pathway in Gastric Carcinoma</t>
  </si>
  <si>
    <r>
      <t xml:space="preserve">Ismael Riquelme, Pablo Pérez-Moreno, Bárbara Mora-Lagos, Carmen Ili, Priscilla Brebi, </t>
    </r>
    <r>
      <rPr>
        <b/>
        <sz val="11"/>
        <color theme="1"/>
        <rFont val="Calibri"/>
        <family val="2"/>
        <scheme val="minor"/>
      </rPr>
      <t>Juan Carlos Roa</t>
    </r>
  </si>
  <si>
    <t>24:6294-6311</t>
  </si>
  <si>
    <t>https://doi.org/
10.3390/ijms24076294</t>
  </si>
  <si>
    <t>https://pubmed.ncbi.nlm.nih.gov/37047267/</t>
  </si>
  <si>
    <t>Body Composition and Metabolic Dysfunction Really Matter for the Achievement of Better Outcomes in High-Grade Serous Ovarian Cancer</t>
  </si>
  <si>
    <r>
      <rPr>
        <b/>
        <sz val="11"/>
        <color theme="1"/>
        <rFont val="Calibri"/>
        <family val="2"/>
        <scheme val="minor"/>
      </rPr>
      <t>Cuello, Mauricio A</t>
    </r>
    <r>
      <rPr>
        <sz val="11"/>
        <color theme="1"/>
        <rFont val="Calibri"/>
        <family val="2"/>
        <scheme val="minor"/>
      </rPr>
      <t xml:space="preserve">; Gómez, Fernán; Orlandini, Elisa; Wichmann, Ignacio; Suárez, Felipe; Kato, Sumie; Brañes Jorge; </t>
    </r>
    <r>
      <rPr>
        <b/>
        <sz val="11"/>
        <color theme="1"/>
        <rFont val="Calibri"/>
        <family val="2"/>
        <scheme val="minor"/>
      </rPr>
      <t>Ibañez Carolina</t>
    </r>
  </si>
  <si>
    <t>15:1156-1172</t>
  </si>
  <si>
    <t>https://doi.org/10.3390/cancers15041156</t>
  </si>
  <si>
    <t>2072-6694</t>
  </si>
  <si>
    <t>https://www.mdpi.com/2072-6694/15/4/1156</t>
  </si>
  <si>
    <t>Eosinophilic Cholecystitis and Eosinophils in Gallbladder Injuries: A Clinicopathological Analysis of 1050 Cholecystectomies</t>
  </si>
  <si>
    <r>
      <t xml:space="preserve">Memis B, Saka B, Roa JC, Bandyopadhyay S, Reid M, Bagci P, Aktas BK, Armutlu A, Basturk O, Adsay NV.; </t>
    </r>
    <r>
      <rPr>
        <b/>
        <sz val="11"/>
        <color theme="1"/>
        <rFont val="Calibri"/>
        <family val="2"/>
        <scheme val="minor"/>
      </rPr>
      <t>Roa, Juan Carlos</t>
    </r>
  </si>
  <si>
    <t>Millennium Institute on Immunology and Immunotherapy (IMII), Santiago</t>
  </si>
  <si>
    <t>Diagnostics</t>
  </si>
  <si>
    <t>V13:2559</t>
  </si>
  <si>
    <t>doi: 10.3390/diagnostics13152559.</t>
  </si>
  <si>
    <t>2075-4418</t>
  </si>
  <si>
    <t>https://www.ncbi.nlm.nih.gov/pmc/articles/PMC10578190/pdf/KGMI_15_2263936.pdf</t>
  </si>
  <si>
    <t>Targeting hypoxia-inducible factor-1 alpha suppresses Helicobacter pylori-induced gastric injury via attenuation of both cag-mediated microbial virulence and proinflammatory host responses.</t>
  </si>
  <si>
    <r>
      <t xml:space="preserve">Noto JM, Piazuelo MB, Romero-Gallo J, Delgado AG, Suarez G, Akritidou K, Girod Hoffman M, Roa JC, Taylor CT, Peek RM , Jr.; </t>
    </r>
    <r>
      <rPr>
        <b/>
        <sz val="11"/>
        <color theme="1"/>
        <rFont val="Calibri"/>
        <family val="2"/>
        <scheme val="minor"/>
      </rPr>
      <t>Roa, Juan Carlos</t>
    </r>
  </si>
  <si>
    <t>GUT Microbies</t>
  </si>
  <si>
    <t xml:space="preserve">V 15: 2263936 </t>
  </si>
  <si>
    <t>https://doi.org/10.1080/19490976.2023.2263936</t>
  </si>
  <si>
    <t>1949-0984</t>
  </si>
  <si>
    <t xml:space="preserve"> 2-4-5</t>
  </si>
  <si>
    <t>Influence of SARS-CoV-2 mRNA Vaccine Booster among Cancer Patients on Active Treatment Previously Immunized with Inactivated versus mRNA Vaccines: A Prospective Cohort Study</t>
  </si>
  <si>
    <r>
      <t xml:space="preserve">Sebastián Mondaca; Benjamín Walbaum; Nicole Le Corre; Marcela Ferrés and Alejandro Valdés; Constanza Martínez-Valdebenito; Cinthya Ruiz-Tagle; </t>
    </r>
    <r>
      <rPr>
        <b/>
        <sz val="8"/>
        <color theme="1"/>
        <rFont val="Calibri"/>
        <family val="2"/>
        <scheme val="minor"/>
      </rPr>
      <t>Patricia Macanas-Pirard</t>
    </r>
    <r>
      <rPr>
        <sz val="8"/>
        <color theme="1"/>
        <rFont val="Calibri"/>
        <family val="2"/>
        <scheme val="minor"/>
      </rPr>
      <t xml:space="preserve">; Patricio Ross; Betzabé Cisternas Patricia Pérez; Olivia Cabrera; Valentina Cerda; Ivana Ormazábal; Aldo Barrera; María E. Prado; María I. Venegas; Silvia Palma; Richard Broekhuizen; Alexis M. Kalergi; Susan M. Bueno; </t>
    </r>
    <r>
      <rPr>
        <b/>
        <sz val="8"/>
        <color theme="1"/>
        <rFont val="Calibri"/>
        <family val="2"/>
        <scheme val="minor"/>
      </rPr>
      <t>Manuel A. Espinoza</t>
    </r>
    <r>
      <rPr>
        <sz val="8"/>
        <color theme="1"/>
        <rFont val="Calibri"/>
        <family val="2"/>
        <scheme val="minor"/>
      </rPr>
      <t xml:space="preserve">; M. Elvira Balcells; </t>
    </r>
    <r>
      <rPr>
        <b/>
        <sz val="8"/>
        <color theme="1"/>
        <rFont val="Calibri"/>
        <family val="2"/>
        <scheme val="minor"/>
      </rPr>
      <t>Bruno Nervi</t>
    </r>
  </si>
  <si>
    <t>MDPI Nr. 2233586</t>
  </si>
  <si>
    <t>Si</t>
  </si>
  <si>
    <t>Bruno Nervi</t>
  </si>
  <si>
    <t>CHF 2.200</t>
  </si>
  <si>
    <t>11, 1193-1204</t>
  </si>
  <si>
    <t>10.3390/vaccines11071193</t>
  </si>
  <si>
    <t>2076-393X</t>
  </si>
  <si>
    <t>https://pubmed.ncbi.nlm.nih.gov/37515009/</t>
  </si>
  <si>
    <t>Health care should be the same for everyone": Perceived Inequities in therapeutic trajectories of adult patients with lung cancer in Chile, a qualitative study</t>
  </si>
  <si>
    <r>
      <t xml:space="preserve">Carla Campaña, </t>
    </r>
    <r>
      <rPr>
        <b/>
        <sz val="11"/>
        <color theme="1"/>
        <rFont val="Calibri"/>
        <family val="2"/>
        <scheme val="minor"/>
      </rPr>
      <t>Báltica Cabieses</t>
    </r>
    <r>
      <rPr>
        <sz val="11"/>
        <color theme="1"/>
        <rFont val="Calibri"/>
        <family val="2"/>
        <scheme val="minor"/>
      </rPr>
      <t xml:space="preserve">, Alexandra Obach, Francisca Vezzani </t>
    </r>
  </si>
  <si>
    <t xml:space="preserve">Baltica Cabieses* 
Alexandra Obach </t>
  </si>
  <si>
    <t>Francisca Vezzani</t>
  </si>
  <si>
    <t>Ninguno</t>
  </si>
  <si>
    <t xml:space="preserve">Carla Campaña </t>
  </si>
  <si>
    <r>
      <t xml:space="preserve">WP-4 </t>
    </r>
    <r>
      <rPr>
        <sz val="11"/>
        <color rgb="FFFF0000"/>
        <rFont val="Calibri"/>
        <family val="2"/>
        <scheme val="minor"/>
      </rPr>
      <t>Proyecto</t>
    </r>
  </si>
  <si>
    <t>Aceptada</t>
  </si>
  <si>
    <t>Enviada</t>
  </si>
  <si>
    <t>Frontiers Media SA Nr. 2023-0951127-5</t>
  </si>
  <si>
    <t>Frontiers in Public Health</t>
  </si>
  <si>
    <t>Manuel Espinoza</t>
  </si>
  <si>
    <t>USD 2020</t>
  </si>
  <si>
    <t>11, 1228304</t>
  </si>
  <si>
    <t>https://doi.org/10.3389/fpubh.2023.1228304</t>
  </si>
  <si>
    <t>2296-2565</t>
  </si>
  <si>
    <t>https://www.frontiersin.org/articles/10.3389/fpubh.2023.1228304/full</t>
  </si>
  <si>
    <t>The socioeconomic distribution of life expectancy and healthy life expectancy in Chile</t>
  </si>
  <si>
    <r>
      <rPr>
        <b/>
        <sz val="11"/>
        <color theme="1"/>
        <rFont val="Calibri"/>
        <family val="2"/>
        <scheme val="minor"/>
      </rPr>
      <t>Manuel A. Espinoza</t>
    </r>
    <r>
      <rPr>
        <sz val="11"/>
        <color theme="1"/>
        <rFont val="Calibri"/>
        <family val="2"/>
        <scheme val="minor"/>
      </rPr>
      <t xml:space="preserve">, Rodrigo Severino, Carlos Balmaceda, Tomas Abbott, </t>
    </r>
    <r>
      <rPr>
        <b/>
        <sz val="11"/>
        <color theme="1"/>
        <rFont val="Calibri"/>
        <family val="2"/>
        <scheme val="minor"/>
      </rPr>
      <t>Báltica Cabieses</t>
    </r>
  </si>
  <si>
    <t>Manuel A. Espinoza, Carlos Balmaceda, Tomas Abbott, Baltica Cabieses</t>
  </si>
  <si>
    <t>Rodrigo Severino</t>
  </si>
  <si>
    <t>WP 4 Proyecto Distrubutional Cost effectiveness analyisis colorectal cancer</t>
  </si>
  <si>
    <t>Publicada</t>
  </si>
  <si>
    <t>Springer Nature Group Nr. 1452491887</t>
  </si>
  <si>
    <t>Springer Nature Group: International Journal for Equity in Health</t>
  </si>
  <si>
    <t>USD 2627</t>
  </si>
  <si>
    <t>22: 160-169</t>
  </si>
  <si>
    <t>https://doi.org/10.1186/s12939-023-01972-w</t>
  </si>
  <si>
    <t>1475-9276</t>
  </si>
  <si>
    <t>https://equityhealthj.biomedcentral.com/articles/10.1186/s12939-023-01972-w</t>
  </si>
  <si>
    <t>Co-design of a mobile application for engaging breast cancer patients into reporting health experiences: Qualitative case study</t>
  </si>
  <si>
    <r>
      <rPr>
        <b/>
        <sz val="11"/>
        <color theme="1"/>
        <rFont val="Calibri"/>
        <family val="2"/>
        <scheme val="minor"/>
      </rPr>
      <t>Taramasco C</t>
    </r>
    <r>
      <rPr>
        <sz val="11"/>
        <color theme="1"/>
        <rFont val="Calibri"/>
        <family val="2"/>
        <scheme val="minor"/>
      </rPr>
      <t>., Rimassa C., Noel R., Bravo Storm L., Sánchez C.</t>
    </r>
  </si>
  <si>
    <t>3Facultad de Medicina, Escuela de Fonoaudiología, Campus San Felipe Universidad de Valparaíso San Felipe CL
4Facultad de Ingeniería Universidad de Valparaíso Valparaíso CL</t>
  </si>
  <si>
    <t>JMIR Nr. 45968-APF-0057473</t>
  </si>
  <si>
    <t>Carla Taramasco</t>
  </si>
  <si>
    <t>USD 3.584,50</t>
  </si>
  <si>
    <t>13-10-2023</t>
  </si>
  <si>
    <t>25:e45968</t>
  </si>
  <si>
    <t>10.2196/45968</t>
  </si>
  <si>
    <t>1438-8871</t>
  </si>
  <si>
    <t>https://preprints.jmir.org/preprint/45968/accepted</t>
  </si>
  <si>
    <t>Design of an Electronic Health Record for Treating and Monitoring Oncology Patients in Chile</t>
  </si>
  <si>
    <r>
      <rPr>
        <b/>
        <sz val="11"/>
        <color theme="1"/>
        <rFont val="Calibri"/>
        <family val="2"/>
        <scheme val="minor"/>
      </rPr>
      <t>Carla Taramasco</t>
    </r>
    <r>
      <rPr>
        <sz val="11"/>
        <color theme="1"/>
        <rFont val="Calibri"/>
        <family val="2"/>
        <scheme val="minor"/>
      </rPr>
      <t>, Diego Rivera, Camilo Guerrero, y Gastón Márquez</t>
    </r>
  </si>
  <si>
    <t>4Escuela de Enfermería, Universidad de Valparaíso, Angamos 655, Viña del Mar, 2540064, Valparaíso, Chile (e-mail: camilo.guerrero@uv.cl)
5Departamento de Ciencias de la Computación y Tecnología de la Información, Universidad del Bío-Bío, Chillán,</t>
  </si>
  <si>
    <t>Copy Right Clearance Center Nr. APC-600472449</t>
  </si>
  <si>
    <t>IEEE ACCESS</t>
  </si>
  <si>
    <t>USD 2.320,50</t>
  </si>
  <si>
    <t>11: 119254-119269</t>
  </si>
  <si>
    <t>10.1109/ACCESS.2023.3327058</t>
  </si>
  <si>
    <t>2169-3536</t>
  </si>
  <si>
    <t>https://ieeexplore.ieee.org/document/10292626</t>
  </si>
  <si>
    <t>Effects of Internet-Based Telemonitoring Platforms on the Quality of Life of Oncologic Patients: A Systematic Literature Review Protocol</t>
  </si>
  <si>
    <r>
      <t xml:space="preserve">Martínez F, Tobar C, </t>
    </r>
    <r>
      <rPr>
        <b/>
        <sz val="11"/>
        <color theme="1"/>
        <rFont val="Calibri"/>
        <family val="2"/>
        <scheme val="minor"/>
      </rPr>
      <t>Taramasco C</t>
    </r>
  </si>
  <si>
    <t>Servicio de Medicina, Hospital Gustavo Fricke, Viña del Mar,</t>
  </si>
  <si>
    <t>Public Library of Science Nr. PAB364351</t>
  </si>
  <si>
    <t>Public Library of Science (QUARTERLY?)</t>
  </si>
  <si>
    <t>USD 1.477</t>
  </si>
  <si>
    <t>Vol 18</t>
  </si>
  <si>
    <t>https://doi.org/10.1371/journal.pone.0293948</t>
  </si>
  <si>
    <t>1932-6203</t>
  </si>
  <si>
    <t>https://journals.plos.org/plosone/article?id=10.1371/journal.pone.0293948</t>
  </si>
  <si>
    <t>Advances towards the use of gastrointestinal tumor patient-derived organoids as a therapeutic decision-making tool.</t>
  </si>
  <si>
    <r>
      <t xml:space="preserve">Javiera Obreque, Luis Vergara-Gómez, Nicolás Venegas, Helga Weber, </t>
    </r>
    <r>
      <rPr>
        <b/>
        <sz val="11"/>
        <color theme="1"/>
        <rFont val="Calibri"/>
        <family val="2"/>
        <scheme val="minor"/>
      </rPr>
      <t>Gareth I. Owen</t>
    </r>
    <r>
      <rPr>
        <sz val="11"/>
        <color theme="1"/>
        <rFont val="Calibri"/>
        <family val="2"/>
        <scheme val="minor"/>
      </rPr>
      <t xml:space="preserve">, Pablo Pérez-Moreno, Pamela Leal, </t>
    </r>
    <r>
      <rPr>
        <b/>
        <sz val="11"/>
        <color theme="1"/>
        <rFont val="Calibri"/>
        <family val="2"/>
        <scheme val="minor"/>
      </rPr>
      <t>Juan Carlos Roa</t>
    </r>
    <r>
      <rPr>
        <sz val="11"/>
        <color theme="1"/>
        <rFont val="Calibri"/>
        <family val="2"/>
        <scheme val="minor"/>
      </rPr>
      <t xml:space="preserve"> and </t>
    </r>
    <r>
      <rPr>
        <b/>
        <sz val="11"/>
        <color theme="1"/>
        <rFont val="Calibri"/>
        <family val="2"/>
        <scheme val="minor"/>
      </rPr>
      <t xml:space="preserve">Carolina Bizama </t>
    </r>
  </si>
  <si>
    <t>Millennium Institute on Immunology and Immunotherapy, Pontificia
Universidad Católica de Chile, 8331150 Santiago, Chile
3 Centre of Excellence in Translational Medicine (CEMT) and Scientific
and Technological Bioresource Nucleus (BIOREN), Biomedicine
and Translational Research/ Advanced Center for Chronic Diseases, Pontificia Universidad Católica
de Chile, Santiago</t>
  </si>
  <si>
    <t>Springer Nature Group Nr. 1452561829</t>
  </si>
  <si>
    <t>Caroina Bizama</t>
  </si>
  <si>
    <t>USD 2.227</t>
  </si>
  <si>
    <t>56:63</t>
  </si>
  <si>
    <t>https://doi.org/10.1186/s40659-023-00476-9</t>
  </si>
  <si>
    <t>0717-6287</t>
  </si>
  <si>
    <t>https://biolres.biomedcentral.com/articles/10.1186/s40659-023-00476-9</t>
  </si>
  <si>
    <t>CHF 2.340</t>
  </si>
  <si>
    <t>USD 2.095</t>
  </si>
  <si>
    <t>TOTAL $</t>
  </si>
  <si>
    <t>Effects in Quality of Life of a Telemonitoring Platform Amongs Patients with Cancer (EQUALITE): A Randomized Trial Protocol</t>
  </si>
  <si>
    <t>Felipe Martínez, Carla Taramasco, Manuel Espinoza, Johanna Acevedo, Carolina Goic, and Bruno Nervi</t>
  </si>
  <si>
    <t>Foro Nacional del Cáncer</t>
  </si>
  <si>
    <t>Publicado</t>
  </si>
  <si>
    <t>5-6 enero 2024</t>
  </si>
  <si>
    <t>MDPI: Methods and protocols</t>
  </si>
  <si>
    <t>Pagado con fondos 2023</t>
  </si>
  <si>
    <t>7, 24-33</t>
  </si>
  <si>
    <t>10.3390/mps7020024</t>
  </si>
  <si>
    <t>2409-9279</t>
  </si>
  <si>
    <t> </t>
  </si>
  <si>
    <t>MPs | Free Full-Text | Effects on Quality of Life of a Telemonitoring Platform amongst Patients with Cancer (EQUALITE): A Randomized Trial Protocol (mdpi.com)</t>
  </si>
  <si>
    <t>Differential Effects of a Telemonitoring Platform in the Development of Chemotherapy-Associated Toxicity: A Randomised Trial Protocol</t>
  </si>
  <si>
    <t>Felipe Martínez, Carla Taramasco, Manuel Espinoza, Johanna Acevedo, Carolina Goic, Bruno Nervi</t>
  </si>
  <si>
    <t>MDPI: Diagnostics</t>
  </si>
  <si>
    <t>14, 619-630</t>
  </si>
  <si>
    <t>10.3390/diagnostics14060619</t>
  </si>
  <si>
    <t>Diagnostics | Free Full-Text | Differential Effects of a Telemonitoring Platform in the Development of Chemotherapy-Associated Toxicity: A Randomized Trial Protocol (mdpi.com)</t>
  </si>
  <si>
    <t>The legal path for priority setting in Chile: A critical analysis to impove health planning and stewardship</t>
  </si>
  <si>
    <r>
      <rPr>
        <b/>
        <sz val="11"/>
        <color theme="1"/>
        <rFont val="Calibri"/>
        <family val="2"/>
        <scheme val="minor"/>
      </rPr>
      <t>Manuel A. Espinoza, Baltica Cabieses, Carolina Goic</t>
    </r>
    <r>
      <rPr>
        <sz val="11"/>
        <color theme="1"/>
        <rFont val="Calibri"/>
        <family val="2"/>
        <scheme val="minor"/>
      </rPr>
      <t>, Alejandro Andrade</t>
    </r>
  </si>
  <si>
    <t>Chilean Federation of Rare Diseases</t>
  </si>
  <si>
    <t xml:space="preserve"> 2023-1025253-3</t>
  </si>
  <si>
    <t xml:space="preserve">11,1-6 </t>
  </si>
  <si>
    <t>10.3389/fpubh.2023.1302640</t>
  </si>
  <si>
    <t>Frontiers | The legal path for priority setting in Chile: a critical analysis to improve health planning and stewardship (frontiersin.org)</t>
  </si>
  <si>
    <t xml:space="preserve"> 2-5</t>
  </si>
  <si>
    <t>Desafíos en la vigilancia de todos los casos de cáncer: Registro Nacional de Cáncer Chileno</t>
  </si>
  <si>
    <r>
      <rPr>
        <b/>
        <sz val="11"/>
        <color theme="1"/>
        <rFont val="Calibri"/>
        <family val="2"/>
        <scheme val="minor"/>
      </rPr>
      <t>Carla Taramasco</t>
    </r>
    <r>
      <rPr>
        <sz val="11"/>
        <color theme="1"/>
        <rFont val="Calibri"/>
        <family val="2"/>
        <scheme val="minor"/>
      </rPr>
      <t xml:space="preserve">, Carla Rimassa, </t>
    </r>
    <r>
      <rPr>
        <b/>
        <sz val="11"/>
        <color theme="1"/>
        <rFont val="Calibri"/>
        <family val="2"/>
        <scheme val="minor"/>
      </rPr>
      <t>Johanna Acevedo</t>
    </r>
  </si>
  <si>
    <t>Escuela de Fonoaudiología, Facultad de Medicina, Universidad de Valparaíso</t>
  </si>
  <si>
    <t>Medwave</t>
  </si>
  <si>
    <t>27-02-2024</t>
  </si>
  <si>
    <t>24, 2771-2776</t>
  </si>
  <si>
    <t>DOI: 10.5867/medwave.2024.01.2771</t>
  </si>
  <si>
    <t>0717-6384</t>
  </si>
  <si>
    <t>Desafíos en la vigilancia de todos los casos de cáncer en Chile: Registro Nacional de Cáncer - Medwave</t>
  </si>
  <si>
    <t>A Contemporary Review of Breast Cancer Risk Factors and the Role of Artificial Intelligence</t>
  </si>
  <si>
    <t>Orietta Nicolis, Denisse De Los Angeles and Carla Taramasco</t>
  </si>
  <si>
    <t>2023-1082281-4</t>
  </si>
  <si>
    <t>Frontiers in Oncology</t>
  </si>
  <si>
    <t>14, 1-18</t>
  </si>
  <si>
    <t>10.3389/fonc.2024.1356014</t>
  </si>
  <si>
    <t>2234-943X</t>
  </si>
  <si>
    <t>Frontiers | A contemporary review of breast cancer risk factors and the role of artificial intelligence (frontiersin.org)</t>
  </si>
  <si>
    <t>Distinct Driver Pathway Enrichments and a High Prevalence od TSC2 Mutstions in Right Colon Cancer in Chile: A comparative Analysis</t>
  </si>
  <si>
    <r>
      <t xml:space="preserve">Camilo Tapia-Valladares, Guillermo Valenzuela, Evelin González, Ignacio Maureira, Jessica Toro, Matías Freire, Gonzalo Sepúlveda-Hermosilla, Diego Ampuero, Alejandro Blanco, Iván Gallegos, Fernanda Morales, José I. Erices, Olga Barajas, Mónica Ahumada, </t>
    </r>
    <r>
      <rPr>
        <b/>
        <sz val="11"/>
        <color theme="1"/>
        <rFont val="Calibri"/>
        <family val="2"/>
        <scheme val="minor"/>
      </rPr>
      <t>Héctor R. Contreras</t>
    </r>
    <r>
      <rPr>
        <sz val="11"/>
        <color theme="1"/>
        <rFont val="Calibri"/>
        <family val="2"/>
        <scheme val="minor"/>
      </rPr>
      <t xml:space="preserve">, Jaime González, Ricardo Armisén and </t>
    </r>
    <r>
      <rPr>
        <b/>
        <sz val="11"/>
        <color theme="1"/>
        <rFont val="Calibri"/>
        <family val="2"/>
        <scheme val="minor"/>
      </rPr>
      <t>Katherine Marcelain</t>
    </r>
  </si>
  <si>
    <t>Campus San Felipe, Universidad de Valparaíso, San Felipe, Chile</t>
  </si>
  <si>
    <t>MDPI: International Journal of Molecular Science</t>
  </si>
  <si>
    <t>Katherine Marcelain</t>
  </si>
  <si>
    <t>25-04-2024</t>
  </si>
  <si>
    <t>25, 4695-4712</t>
  </si>
  <si>
    <t>10.3390/ijms25094695 </t>
  </si>
  <si>
    <t>1661-6596</t>
  </si>
  <si>
    <t>IJMS | Free Full-Text | Distinct Driver Pathway Enrichments and a High Prevalence of TSC2 Mutations in Right Colon Cancer in Chile: A Preliminary Comparative Analysis (mdpi.com)</t>
  </si>
  <si>
    <t>Barriers to the use of test for early detection of colorectal cancer in Chile</t>
  </si>
  <si>
    <r>
      <t>Gabriela Alfaro, Zoltan Berger,</t>
    </r>
    <r>
      <rPr>
        <b/>
        <sz val="11"/>
        <color theme="1"/>
        <rFont val="Calibri"/>
        <family val="2"/>
        <scheme val="minor"/>
      </rPr>
      <t xml:space="preserve"> Susana Mondschein</t>
    </r>
    <r>
      <rPr>
        <sz val="11"/>
        <color theme="1"/>
        <rFont val="Calibri"/>
        <family val="2"/>
        <scheme val="minor"/>
      </rPr>
      <t>, Felipe Subiabre, Natalia Yankovic</t>
    </r>
  </si>
  <si>
    <t>Business School, Universidad de los Andes</t>
  </si>
  <si>
    <t>Scientific Reports (de Nature)</t>
  </si>
  <si>
    <t>Manuel Espinoza/Susana Mondschein</t>
  </si>
  <si>
    <t>14, 8817</t>
  </si>
  <si>
    <t>https://doi.org/10.1038/s41598-024-58920-z</t>
  </si>
  <si>
    <t>2045-2322</t>
  </si>
  <si>
    <t>Barriers to the use of tests for early detection of colorectal cancer in Chile | Scientific Reports (nature.com)</t>
  </si>
  <si>
    <t>Cancer advocacy in residency education: From principles to competencies</t>
  </si>
  <si>
    <r>
      <rPr>
        <b/>
        <sz val="11"/>
        <color theme="1"/>
        <rFont val="Calibri"/>
        <family val="2"/>
        <scheme val="minor"/>
      </rPr>
      <t>Klaus Puschel</t>
    </r>
    <r>
      <rPr>
        <sz val="11"/>
        <color theme="1"/>
        <rFont val="Calibri"/>
        <family val="2"/>
        <scheme val="minor"/>
      </rPr>
      <t xml:space="preserve">, Beti Thompson, </t>
    </r>
    <r>
      <rPr>
        <b/>
        <sz val="11"/>
        <color theme="1"/>
        <rFont val="Calibri"/>
        <family val="2"/>
        <scheme val="minor"/>
      </rPr>
      <t>Andrea Rioseco</t>
    </r>
    <r>
      <rPr>
        <sz val="11"/>
        <color theme="1"/>
        <rFont val="Calibri"/>
        <family val="2"/>
        <scheme val="minor"/>
      </rPr>
      <t xml:space="preserve">, Augusto Leon, </t>
    </r>
    <r>
      <rPr>
        <b/>
        <sz val="11"/>
        <color theme="1"/>
        <rFont val="Calibri"/>
        <family val="2"/>
        <scheme val="minor"/>
      </rPr>
      <t>Carolina Goic</t>
    </r>
    <r>
      <rPr>
        <sz val="11"/>
        <color theme="1"/>
        <rFont val="Calibri"/>
        <family val="2"/>
        <scheme val="minor"/>
      </rPr>
      <t>, Isabella Fuentes, Zdenka Vescovi</t>
    </r>
  </si>
  <si>
    <t xml:space="preserve">Public Health Division, Fred Hutchinson Cancer Research Center, Seattle, WA, United States </t>
  </si>
  <si>
    <t>Journal of Cancer Policy</t>
  </si>
  <si>
    <t>https://doi.org/10.1016/j.jcpo.2024.100470</t>
  </si>
  <si>
    <t>2213-5383</t>
  </si>
  <si>
    <t>Cancer advocacy in residency education: From principles to competencies - ScienceDirect</t>
  </si>
  <si>
    <t xml:space="preserve"> 2-4</t>
  </si>
  <si>
    <t>Estrategias para la prevención primaria y secundariadel cáncer gástrico: consenso chileno de panel deexpertos con técnica Delfi</t>
  </si>
  <si>
    <r>
      <t xml:space="preserve">Óscar Corsi Sotelo, Margarita Pizarro Rojas, Antonio Rollán Rodríguez,Verónica Silva Figueroa, Raúl Araya Jofréd, María Ester Bufadel Godoy,Pablo Cortés González, Robinson González Donoso, Eduardo Fuentes López,Gonzalo Latorre Selvat, Patricio Medel-Jarah, Diego Reyes Placencia, Mauricio Pizarro Véliz, María Jesús Garchitorena Marqués, María Trinidad Zegers Vial, Francisca Crispi Galleguillos, </t>
    </r>
    <r>
      <rPr>
        <b/>
        <sz val="11"/>
        <color theme="1"/>
        <rFont val="Calibri"/>
        <family val="2"/>
        <scheme val="minor"/>
      </rPr>
      <t>Manuel A. Espinoza,y Arnoldo Riquelme Pérez</t>
    </r>
  </si>
  <si>
    <t>Instituto Chileno Japonés de Enfermedades Digestivas, Hospital Clínico San Borja-Arriarán, Unidad de Gastroenterología y Endoscopia, Hospital Militar de Santiago, Santiago, Chile, Centro de Enfermedades Digestivas, Clínica Universidad de Los Andes, Santiago, Chile, IntegraMédica, Clínica RedSalud Providencia, Santiago, Chile</t>
  </si>
  <si>
    <t>1,8</t>
  </si>
  <si>
    <t>https://doi.org/10.1016/j.gastrohep.2024.01.008</t>
  </si>
  <si>
    <t>Estrategias para la prevención primaria y secundaria del cáncer gástrico: consenso chileno de panel de expertos con técnica Delfi - ScienceDirect</t>
  </si>
  <si>
    <t>No esta indexada, debe ir en otras publicaciones</t>
  </si>
  <si>
    <t>Reducción de la infección por Helicobacter pylori en pacientes derivados a endoscopia digestiva alta en Santiago de Chile entre 2010-2020</t>
  </si>
  <si>
    <r>
      <t xml:space="preserve">Felipe Silva, Gonzalo Latorre, Patricio Medel, Miguel Bustamante, Isabella Montero,Camila Robles, Eitan Dukes, Francisca Martinez, María Victoria Binder, Javier Uribe ,Diego Reyes, Marcela Bittner, Marisol Sirhan, </t>
    </r>
    <r>
      <rPr>
        <b/>
        <sz val="11"/>
        <color theme="1"/>
        <rFont val="Calibri"/>
        <family val="2"/>
        <scheme val="minor"/>
      </rPr>
      <t>Manuel Espinoza</t>
    </r>
    <r>
      <rPr>
        <sz val="11"/>
        <color theme="1"/>
        <rFont val="Calibri"/>
        <family val="2"/>
        <scheme val="minor"/>
      </rPr>
      <t xml:space="preserve">, Eduardo Fuentes-López,Roberto Candia, Carlos Agüero, José Ignacio Vargas, Alberto Espino, </t>
    </r>
    <r>
      <rPr>
        <b/>
        <sz val="11"/>
        <color theme="1"/>
        <rFont val="Calibri"/>
        <family val="2"/>
        <scheme val="minor"/>
      </rPr>
      <t>Arnoldo Riquelme</t>
    </r>
  </si>
  <si>
    <t>Rev Gastroenterol Perú</t>
  </si>
  <si>
    <t>24, 14-20</t>
  </si>
  <si>
    <t>https://doi.org/10.47892/rgp.2024.441.1624</t>
  </si>
  <si>
    <t>1609-722X</t>
  </si>
  <si>
    <t>Reducción de la infección por Helicobacter pylori en pacientes derivados a endoscopia digestiva alta en Santiago de Chile entre 2010-2020 | Revista de Gastroenterología del Perú (revistagastroperu.com)</t>
  </si>
  <si>
    <t>Overexpression of REST Represses the Epithelial–Mesenchymal
Transition Process and Decreases the Aggressiveness of Prostate
Cancer Cells</t>
  </si>
  <si>
    <r>
      <t xml:space="preserve">Sebastián Indo, Octavio Orellana-Serradell, María José Torres, </t>
    </r>
    <r>
      <rPr>
        <b/>
        <sz val="11"/>
        <color theme="1"/>
        <rFont val="Calibri"/>
        <family val="2"/>
        <scheme val="minor"/>
      </rPr>
      <t>Enrique A. Castellón and Héctor R. Contreras</t>
    </r>
  </si>
  <si>
    <t>Millennium Nucleus of Ion Channel-Associated Diseases (MiNICAD), Santiago</t>
  </si>
  <si>
    <t>15-03-2024</t>
  </si>
  <si>
    <t>10.3390/ijms25063332</t>
  </si>
  <si>
    <t>IJMS | Free Full-Text | Overexpression of REST Represses the Epithelial&amp;ndash;Mesenchymal Transition Process and Decreases the Aggressiveness of Prostate Cancer Cells (mdpi.com)</t>
  </si>
  <si>
    <t>Comparison of OLGA and OLGIM as predictors of gastric cancer in a Latin American population: the ECHOS Study</t>
  </si>
  <si>
    <r>
      <t xml:space="preserve">Gonzalo Latorre, Felipe Silva, Isabella Montero, Miguel Bustamante, Eitan Dukes, Javier Uribe, Oscar Corsi Sotelo,  Diego Reyes, Eduardo Fuentes-López, Margarita Pizarro, Patricio Medel, Javiera Torres, </t>
    </r>
    <r>
      <rPr>
        <b/>
        <sz val="11"/>
        <color theme="1"/>
        <rFont val="Calibri"/>
        <family val="2"/>
        <scheme val="minor"/>
      </rPr>
      <t>Juan Carlos Roa</t>
    </r>
    <r>
      <rPr>
        <sz val="11"/>
        <color theme="1"/>
        <rFont val="Calibri"/>
        <family val="2"/>
        <scheme val="minor"/>
      </rPr>
      <t xml:space="preserve">, Sebastián Pizarro, Pablo Achurra, Andrés Donoso, Ignacio Wichmann, Alejandro H Corvalán, Javier Chahuan, Roberto Candia, Carlos Agüero, Robinson Gonzalez, Jose Ignacio Vargas, Alberto Espino, M Constanza Camargo, Shailja Shah, </t>
    </r>
    <r>
      <rPr>
        <b/>
        <sz val="11"/>
        <color theme="1"/>
        <rFont val="Calibri"/>
        <family val="2"/>
        <scheme val="minor"/>
      </rPr>
      <t>Arnoldo Riquelme</t>
    </r>
  </si>
  <si>
    <t>Division of Oncology, Department of Medicine, Stanford University School of Medicine, Stanford, California, USA; Division of Cancer Epidemiology and Genetics, National Cancer Institute, Bethesda, Maryland, USA, Department of Gastroenterology, Veterans Affairs, VA San Diego Healthcare System, San Diego, California, USA, Department of Gastroenterology, University of California San Diego, La Jolla, California, USA</t>
  </si>
  <si>
    <t>GUT</t>
  </si>
  <si>
    <t>0, 1-3</t>
  </si>
  <si>
    <t>10.1136/gutjnl-2023-331059</t>
  </si>
  <si>
    <t>1468-3288</t>
  </si>
  <si>
    <t>https://gut.bmj.com/content/early/2023/12/26/gutjnl-2023-331059.long</t>
  </si>
  <si>
    <t>Quadruple therapies show a higher eradication rate compared to standard triple therapy for Helicobacter pylori infection within the LEGACy consortium. A multicenter observational study in European and Latin American countries </t>
  </si>
  <si>
    <t>6Digestive Medicine Department, Hospital Clínico Universitario de Valencia, Valencia, Spain/ 7Biochemistry Department and Molecular Biology, Universidad de Valencia, Valencia, Spain,/ 8INCLIVA Biomedical Research Institute, Valencia, Spain/ 24Servicio de Aparato Digestivo. Hospital Universitario de La Princesa, Instituto de Investigación Sanitaria Princesa (IIS‐Princesa), Universidad Autónoma de Madrid (UAM), Madrid, Spain,/ 25Centro de Investigación Biomédica en Red de Enfermedades Hepáticas y Digestivas (CIBERehd), Madrid, Spain/ 26Hospital Clínic de Barcelona, Centro de Investigación Biomédica en Red en Enfermedades Hepáticas y Digestivas (CIBERehd),/ IDIBAPS (Institut d’Investigacions Biomèdiques August Pi i Sunyer), University of Barcelona, Barcelona, Spain/
27Division of Cancer Epidemiology and Genetics, National Cancer Institute, Rockville, Maryland, USA/ 28Departamento de Gastroenterología, UMAE, Hospital de Especialidades “Dr.Bernardo Sepúlveda”, Centro Médico Nacional Siglo XXI, IMSS, Ciudad de México, México/29Departamento de Gastroenterología, Instituto Nacional de Cancerología,Ciudad de México, México/ 30Laboratorio de Medicina Traslacional, Instituto Nacional de Cancerología, Ciudad de México, México
31Núcleo B de Innovación en Medicina de Precisión. Instituto Nacional de Medicina Genómica, Ciudad de México, México/ 9GenPat Laboratory, Asunción, Paraguay/ 10Endoscopy Department, Instituto de Previsión Social, Asunción, Paraguay/ 11IPATIMUP ‐ Institute of Pathology and Molecular Immunology of the
University of Porto, Porto, Portugal/ 12Department of Pathology, Medical Faculty of the University of Porto, Porto, Portugal/ 13Department of Gastroenterology, Centro Hospitalar Universitário de S. João, Porto, Portugal/ 14Department of Gastroenterology, Medical Faculty of the University of Porto, Porto, Portugal/
15Vall d'Hebron University, Barcelona, Spain/ 16Hospital‐Vall d’Hebron Institute of Oncology (VHIO), Barcelona, Spain/36Medical Oncology Department, Hospital Clínico Universitario de Valencia, Valencia, Spain</t>
  </si>
  <si>
    <t>19Latin American Network for Implementation and Validation of Clinical
Pharmacogenomics Guidelines (RELIVAF),3Doctorate Program, Integrative Genomics, Universidad Mayor, Santiago,
Chile32Centro de Oncología de Precisión, Escuela de Medicina, Universidad Mayor,
Santiago, Chile34Millennium Institute on Immunology and Immunotherapy, Santiago, Chile
35Advanced Center for Chronic Diseases,</t>
  </si>
  <si>
    <t>United European Gastroenterology Journal</t>
  </si>
  <si>
    <t>Si (50%)</t>
  </si>
  <si>
    <t>Arnoldo Riquelme</t>
  </si>
  <si>
    <t>USD 1465</t>
  </si>
  <si>
    <t>1,10</t>
  </si>
  <si>
    <t>https://doi.org/10.1002/ueg2.12605</t>
  </si>
  <si>
    <t>2050-6414</t>
  </si>
  <si>
    <t>Quadruple therapies show a higher eradication rate compared to standard triple therapy for Helicobacter pylori infection within the LEGACy consortium. A multicenter observational study in European and Latin American countries - Medel‐Jara - United European Gastroenterology Journal - Wiley Online Library</t>
  </si>
  <si>
    <t>LINC00662 promotes aggressive traits by modulating OCT4 ex-pression through miR-335-5p in gallbladder cancer cells</t>
  </si>
  <si>
    <r>
      <t xml:space="preserve">Pablo Pérez-Moreno, Ismael Riquelme, </t>
    </r>
    <r>
      <rPr>
        <b/>
        <sz val="11"/>
        <color theme="1"/>
        <rFont val="Calibri"/>
        <family val="2"/>
        <scheme val="minor"/>
      </rPr>
      <t>Carolina Bizama</t>
    </r>
    <r>
      <rPr>
        <sz val="11"/>
        <color theme="1"/>
        <rFont val="Calibri"/>
        <family val="2"/>
        <scheme val="minor"/>
      </rPr>
      <t xml:space="preserve">, Luis Vergara-Gómez, Julio C. Tapia, Priscilla Brebi, </t>
    </r>
    <r>
      <rPr>
        <b/>
        <sz val="11"/>
        <color theme="1"/>
        <rFont val="Calibri"/>
        <family val="2"/>
        <scheme val="minor"/>
      </rPr>
      <t>Patricia García</t>
    </r>
    <r>
      <rPr>
        <sz val="11"/>
        <color theme="1"/>
        <rFont val="Calibri"/>
        <family val="2"/>
        <scheme val="minor"/>
      </rPr>
      <t xml:space="preserve"> and </t>
    </r>
    <r>
      <rPr>
        <b/>
        <sz val="11"/>
        <color theme="1"/>
        <rFont val="Calibri"/>
        <family val="2"/>
        <scheme val="minor"/>
      </rPr>
      <t>Juan C. Roa</t>
    </r>
  </si>
  <si>
    <t>MDPI: International  Journal  Molecular Sciences</t>
  </si>
  <si>
    <t>Enrique Castellón</t>
  </si>
  <si>
    <t>USD 1460,18</t>
  </si>
  <si>
    <t>25, 6740-6752</t>
  </si>
  <si>
    <t>10.3390/ijms25126740</t>
  </si>
  <si>
    <t>1422-0067</t>
  </si>
  <si>
    <t>IJMS | Free Full-Text | LINC00662 Promotes Aggressive Traits by Modulating OCT4 Expression through miR-335-5p in Gallbladder Cancer Cells (mdpi.com)</t>
  </si>
  <si>
    <t>Challenges for gene therapy in teh financial sustainability of the health systems: A scoping review</t>
  </si>
  <si>
    <r>
      <t xml:space="preserve">Hugo Ossandón (HO), </t>
    </r>
    <r>
      <rPr>
        <b/>
        <sz val="11"/>
        <color theme="1"/>
        <rFont val="Calibri"/>
        <family val="2"/>
        <scheme val="minor"/>
      </rPr>
      <t>Nicolas Armijo</t>
    </r>
    <r>
      <rPr>
        <sz val="11"/>
        <color theme="1"/>
        <rFont val="Calibri"/>
        <family val="2"/>
        <scheme val="minor"/>
      </rPr>
      <t xml:space="preserve"> (NA), Constanza Vargas (CV), Gabriela Repetto (GR), </t>
    </r>
    <r>
      <rPr>
        <b/>
        <sz val="11"/>
        <color theme="1"/>
        <rFont val="Calibri"/>
        <family val="2"/>
        <scheme val="minor"/>
      </rPr>
      <t>Manuel A. Espinoza</t>
    </r>
    <r>
      <rPr>
        <sz val="11"/>
        <color theme="1"/>
        <rFont val="Calibri"/>
        <family val="2"/>
        <scheme val="minor"/>
      </rPr>
      <t xml:space="preserve"> (ME)</t>
    </r>
  </si>
  <si>
    <t>3Centre for Health Economics Research and Evaluation (CHERE),
University of Technology Sydney, Sydney, Australia</t>
  </si>
  <si>
    <t>Orphanet Journal of Rare Diseases</t>
  </si>
  <si>
    <t>USD 2387</t>
  </si>
  <si>
    <t>https://doi.org/10.1186/s13023-024-03249-z</t>
  </si>
  <si>
    <t>1750-1172</t>
  </si>
  <si>
    <t>Challenges for gene therapy in the financial sustainability of health systems: a scoping review | Orphanet Journal of Rare Diseases | Full Text (biomedcentral.com)</t>
  </si>
  <si>
    <t>Harnessing Health Technology Assessment in Latin America and the Caribbean: Keeping the Region on Course</t>
  </si>
  <si>
    <r>
      <t xml:space="preserve">Ursula Giediona, </t>
    </r>
    <r>
      <rPr>
        <b/>
        <sz val="11"/>
        <color theme="1"/>
        <rFont val="Calibri"/>
        <family val="2"/>
        <scheme val="minor"/>
      </rPr>
      <t>Manuel Antonio Espinoza</t>
    </r>
    <r>
      <rPr>
        <sz val="11"/>
        <color theme="1"/>
        <rFont val="Calibri"/>
        <family val="2"/>
        <scheme val="minor"/>
      </rPr>
      <t>, Pamela Góngora-Salazar, Abha Mehndiratta, and Dan Ollendorffa</t>
    </r>
  </si>
  <si>
    <t>Center for Global Development, Washington, DC, USA; Social Protection and Health Division, Inter-American Development Bank, Washington, DC, USA; Nuffield Department of Population Health, University of Oxford, Oxford, UK; Center for Global Development, London, UK; Center for the Evaluation of Value and Risk in Health, Tufts Medical Center, Boston, MA, USA</t>
  </si>
  <si>
    <t>Health Systems and Reform</t>
  </si>
  <si>
    <t xml:space="preserve">9, 2314482 </t>
  </si>
  <si>
    <t>10.1080/23288604.2024.2314482</t>
  </si>
  <si>
    <t>2328-8604</t>
  </si>
  <si>
    <t>Full article: Harnessing Health Technology Assessment in Latin America and the Caribbean: Keeping the Region on Course (tandfonline.com)</t>
  </si>
  <si>
    <t>A Comprehensive Analysis of the Effect of A&gt;I(G) RNA-Editing Sites on Genotoxic Drug Response and Progression in Breast Cancer</t>
  </si>
  <si>
    <r>
      <rPr>
        <sz val="11"/>
        <color rgb="FF000000"/>
        <rFont val="Calibri"/>
        <family val="2"/>
        <scheme val="minor"/>
      </rPr>
      <t xml:space="preserve">Yanara A. Bernal, Alejandro Blanco, Eduardo A. Sagredo, Karen Oróstica, Ivan Alfaro, </t>
    </r>
    <r>
      <rPr>
        <b/>
        <sz val="11"/>
        <color rgb="FF000000"/>
        <rFont val="Calibri"/>
        <family val="2"/>
        <scheme val="minor"/>
      </rPr>
      <t>Katherine Marcelain</t>
    </r>
    <r>
      <rPr>
        <sz val="11"/>
        <color rgb="FF000000"/>
        <rFont val="Calibri"/>
        <family val="2"/>
        <scheme val="minor"/>
      </rPr>
      <t xml:space="preserve"> and </t>
    </r>
    <r>
      <rPr>
        <b/>
        <sz val="11"/>
        <color rgb="FF000000"/>
        <rFont val="Calibri"/>
        <family val="2"/>
        <scheme val="minor"/>
      </rPr>
      <t>Ricardo Armisén</t>
    </r>
  </si>
  <si>
    <t>Department of Molecular Biosciences, The Wenner-Gren Institute, Stockholm University, Svante Arrhenius, vag 20C, SE-106 91 Stockholm, Sweden</t>
  </si>
  <si>
    <t>Instituto de Investigación Interdisciplinaria, Vicerrectoría Académica, Universidad de Talca,</t>
  </si>
  <si>
    <t>MDPI:  Biomedicines</t>
  </si>
  <si>
    <t>25-03-2024</t>
  </si>
  <si>
    <t>12, 728</t>
  </si>
  <si>
    <t>10.3390/biomedicines12040728</t>
  </si>
  <si>
    <t>2227-9059</t>
  </si>
  <si>
    <t>Biomedicines | Free Full-Text | A Comprehensive Analysis of the Effect of A&gt;I(G) RNA-Editing Sites on Genotoxic Drug Response and Progression in Breast Cancer (mdpi.com)</t>
  </si>
  <si>
    <t>Exploring the impact of MiR-92a-3p on FOLFOX chemoresistance biomarker genes in colon cancer cell lines</t>
  </si>
  <si>
    <r>
      <t xml:space="preserve">Paula I. Escalante, Luis A. Quiñones and </t>
    </r>
    <r>
      <rPr>
        <b/>
        <sz val="11"/>
        <color theme="1"/>
        <rFont val="Calibri"/>
        <family val="2"/>
        <scheme val="minor"/>
      </rPr>
      <t>Héctor R. Contreras</t>
    </r>
  </si>
  <si>
    <t>Latin American Network for the Implementation and Validation of
Pharmacogenomic Clinical Guidelines (RELIVAF), Santiago, Chile,</t>
  </si>
  <si>
    <t>Frontiers in Pharmacology</t>
  </si>
  <si>
    <t>15, 1376638</t>
  </si>
  <si>
    <t>10.3389/fphar.2024.1376638</t>
  </si>
  <si>
    <t>1663-9812</t>
  </si>
  <si>
    <t>Frontiers | Exploring the impact of MiR-92a-3p on FOLFOX chemoresistance biomarker genes in colon cancer cell lines (frontiersin.org)</t>
  </si>
  <si>
    <t>Assessing the Occurrence and Influence of Cancer Chemotherapy-Related Pharmacogenetic Alleles in the Chilean Population</t>
  </si>
  <si>
    <r>
      <rPr>
        <b/>
        <sz val="11"/>
        <color theme="1"/>
        <rFont val="Calibri"/>
        <family val="2"/>
        <scheme val="minor"/>
      </rPr>
      <t>Gareth I. Owen</t>
    </r>
    <r>
      <rPr>
        <sz val="11"/>
        <color theme="1"/>
        <rFont val="Calibri"/>
        <family val="2"/>
        <scheme val="minor"/>
      </rPr>
      <t>, Miguel Cordova-Delgado, Bernabé I. Bustos, Leslie C. Cerpa, Pamela Gonzalez, Sebastián Morales-Pison, Benjamín Garcia-Bloj, Marcelo Garrido, Juan Francisco Miquel and Luis A. Quiñones</t>
    </r>
  </si>
  <si>
    <t>Ken and Ruth Davee Department of Neurology, Simpson Querrey Center for Neurogenetics, Feinberg School of Medicine, Northwestern University, Chicago, IL 60611, USA</t>
  </si>
  <si>
    <t>Advanced Center for Chronic Diseases (ACCDiS), Santiago 8330034, Chile, Millennium Institute on Immunology and Immunotherapy, Santiago 8331150, Chile, Latin American Network for Implementation and Validation of Clinical Pharmacogenomics Guidelines (RELIVAF-CYTED), Santiago, Centro de Oncología de Precisión (COP), Facultad de Medicina y Ciencias de la Salud, Universidad Mayor,Santiago 7560908, ChileSAGA, Centro de Estudios Clínicos, Santiago 7610315, Chile
 Department of Oncología, Clínica Indisa, Santiago 7520440, Chile,,</t>
  </si>
  <si>
    <t>MDPI: Pharmaceutics</t>
  </si>
  <si>
    <t>16, 561</t>
  </si>
  <si>
    <t>10.3390/pharmaceutics16040561</t>
  </si>
  <si>
    <t>1999-4923</t>
  </si>
  <si>
    <t>https://doi.org/10.3390/pharmaceutics16040561</t>
  </si>
  <si>
    <t>Clinical and Genomic Characterization of ERBB2-altered Gallbladder Cancer: exploring differences between an American and a Chilean cohort</t>
  </si>
  <si>
    <t>APC600553511</t>
  </si>
  <si>
    <t>JCO Global Oncology</t>
  </si>
  <si>
    <t>SI</t>
  </si>
  <si>
    <t>10, e2400090</t>
  </si>
  <si>
    <t>https://doi.org/10.1200/GO.24.00090</t>
  </si>
  <si>
    <t>2687-8941</t>
  </si>
  <si>
    <t>Clinical and Genomic Characterization of ERBB2-Altered Gallbladder Cancer: Exploring Differences Between an American and a Chilean Cohort | JCO Global Oncology</t>
  </si>
  <si>
    <t>Gene content, phage cycle regulation model and prophage inactivation disclosed by prophage genomics in the Helicobacter pylori Genome Project</t>
  </si>
  <si>
    <t>aBioISI – Instituto de Biossistemas e Ciências Integrativas, Faculdade de Ciências, Universidade de Lisboa, Lisbon, Portugal; bResearch Institute
for Medicines (iMed-ULisboa), Faculty of Pharmacy, Universidade de Lisboa, Lisbon, Portugal; cNew England Biolabs, Ipswich, MA, USA;
dResearch Center for Micro-Nano Technology, Hosei University, Tokyo, Japan; eDepartment of Computational Biology and Medical Sciences,
Graduate School of Frontier Sciences, University of Tokyo, Tokyo, Japan; fInstitute of Medical Science, University of Tokyo, Tokyo, Japan;
gLaboratory of Genome Informatics, National Institute for Basic Biology, Okazaki, Aichi, Japan; hDivision of Cancer Epidemiology and Genetics,
National Cancer Institute, Rockville, MD, US</t>
  </si>
  <si>
    <t>GUT MICROBES</t>
  </si>
  <si>
    <t>no</t>
  </si>
  <si>
    <t>16, 2379440</t>
  </si>
  <si>
    <t>https://doi.org/10.1080/19490976.2024.2379440</t>
  </si>
  <si>
    <t>Full article: Gene content, phage cycle regulation model and prophage inactivation disclosed by prophage genomics in the Helicobacter pylori Genome Project (tandfonline.com)</t>
  </si>
  <si>
    <t>Q4</t>
  </si>
  <si>
    <t>Diagnóstico y etapificación de cáncer de mama en Chile:  estudio por encuesta no probabilística de frecuencia y tiempos</t>
  </si>
  <si>
    <t>14-10-2024</t>
  </si>
  <si>
    <t>24, e2801</t>
  </si>
  <si>
    <t>10.5867/medwave.2024.09.2801</t>
  </si>
  <si>
    <t>Diagnóstico y etapificación de cáncer de mama en Chile: estudio por encuesta no probabilística de III a IV frecuencia y tiempos - Medwave</t>
  </si>
  <si>
    <t>Implementation of Cancer Prevention Practices in Primary Care: Reesults of a Cohort Study in Chile 2018-2022</t>
  </si>
  <si>
    <r>
      <rPr>
        <b/>
        <sz val="11"/>
        <color theme="1"/>
        <rFont val="Calibri"/>
        <family val="2"/>
        <scheme val="minor"/>
      </rPr>
      <t>Klaus Puschel</t>
    </r>
    <r>
      <rPr>
        <sz val="11"/>
        <color theme="1"/>
        <rFont val="Calibri"/>
        <family val="2"/>
        <scheme val="minor"/>
      </rPr>
      <t>, Andrea Rioseco, Mauricio Soto, Gabriela Soto, Sarah Paz, Javiera Martinez, Eduardo Arenas, Marcela Faundez, Augusto Leon, Jon Emery, Beti Thompson</t>
    </r>
  </si>
  <si>
    <t>c Department of General Practice and Centre for Cancer Research, University of Melbourne, Victoria, Australia
d Public Health Division, Fred Hutchinson Cancer Research Center, Seattle, WA, USA</t>
  </si>
  <si>
    <t>OAD0000464806</t>
  </si>
  <si>
    <t>Public Health</t>
  </si>
  <si>
    <t>Klaus Puschel</t>
  </si>
  <si>
    <t>USD 2950</t>
  </si>
  <si>
    <t xml:space="preserve"> Septiembre 2024</t>
  </si>
  <si>
    <t>236, 168-174</t>
  </si>
  <si>
    <t>https://doi.org/10.1016/j.puhe.2024.08.006</t>
  </si>
  <si>
    <t>2666-5352</t>
  </si>
  <si>
    <t>Implementation of cancer prevention practices in primary care: results of a cohort study in Chile 2018–2022 - ScienceDirect</t>
  </si>
  <si>
    <t>MDPI:  CANCERS</t>
  </si>
  <si>
    <t>NO</t>
  </si>
  <si>
    <t>16, 80</t>
  </si>
  <si>
    <t>https://doi.org/
10.3390/cancers16010080</t>
  </si>
  <si>
    <t>Cyclooxygenase-2 Blockade Is Crucial to Restore Natural Killer Cell Activity before Anti-CTLA-4 Therapy against High-Grade Serous Ovarian Cancer (mdpi.com)</t>
  </si>
  <si>
    <t>Statin use is not associated with inflammation among Chilean women of Mapuche and non-Mapuche ancestry with
gallstones</t>
  </si>
  <si>
    <t>Future Sci. OA</t>
  </si>
  <si>
    <t>10, 2340327</t>
  </si>
  <si>
    <t>https://doi.org/10.2144/fsoa-2023-0032</t>
  </si>
  <si>
    <t>2056-5623</t>
  </si>
  <si>
    <t>Full article: Statin use is not associated with inflammation among Chilean women of Mapuche and non-Mapuche ancestry with gallstones (tandfonline.com)</t>
  </si>
  <si>
    <t>Cholecystectomy and digestive cancer in Chile: Complementary results from interrupted time series and aggregated data analyses</t>
  </si>
  <si>
    <t>1Statistical Genetics Research Group, Institute of Medical Biometry, Heidelberg University, Heidelberg, Germany/3Departamento de Estadística, Universidad Nacional de Educación a Distancia (UNED), Madrid, Spain</t>
  </si>
  <si>
    <t xml:space="preserve">5Hospital Regional de Talca, Talca, Chile/8Departamento Manejo Integral del Cáncer y Otros Tumores, Subsecretaria de Salud Pública, Ministerio de Salud de Chile, Santiago, Chile / 9Instituto de Alta Investigación, Tarapacá University, Arica, Chile </t>
  </si>
  <si>
    <t>Int. J. Cancer</t>
  </si>
  <si>
    <t>16-ago-24</t>
  </si>
  <si>
    <t>na:1-13</t>
  </si>
  <si>
    <t>https://doi.org/10.1002/ijc.35138</t>
  </si>
  <si>
    <t>1097-0215</t>
  </si>
  <si>
    <t>Cholecystectomy and digestive cancer in Chile: Complementary results from interrupted time series and aggregated data analyses - Gonzalez - International Journal of Cancer - Wiley Online Library</t>
  </si>
  <si>
    <t>No tiene Factor de Impacto ni Q</t>
  </si>
  <si>
    <t>Chronic Atrophic Gastritis and Intestinal
Metaplasia: A Latin American Perspective</t>
  </si>
  <si>
    <t>Korean J Helicobacter Up Gastrointest</t>
  </si>
  <si>
    <t>24:218-230</t>
  </si>
  <si>
    <t>https://doi.org/10.7704/kjhugr.2024.0017</t>
  </si>
  <si>
    <t>2671-826X</t>
  </si>
  <si>
    <t>Chronic Atrophic Gastritis and Intestinal Metaplasia: A Latin American Perspective (helicojournal.org)</t>
  </si>
  <si>
    <t>National health examination surveys; a source of critical data</t>
  </si>
  <si>
    <r>
      <rPr>
        <b/>
        <sz val="11"/>
        <color theme="1"/>
        <rFont val="Calibri"/>
        <family val="2"/>
        <scheme val="minor"/>
      </rPr>
      <t>Paula Margozzin</t>
    </r>
    <r>
      <rPr>
        <sz val="11"/>
        <color theme="1"/>
        <rFont val="Calibri"/>
        <family val="2"/>
        <scheme val="minor"/>
      </rPr>
      <t>i,a Hanna Tolonen,b Antonio Bernabe-Ortiz,c Sarah Cuschieri,d Chiara Donfrancesco,e Luigi Palmieri,e Luz Maria Sanchez-Romero,f Jennifer S Mindellg &amp; Oyinlola Oyebodeh</t>
    </r>
  </si>
  <si>
    <t>Bull World Health Organ</t>
  </si>
  <si>
    <t>102:588-599</t>
  </si>
  <si>
    <t>http://dx.doi.org/10.2471/BLT.24.291783</t>
  </si>
  <si>
    <t>0042-9686</t>
  </si>
  <si>
    <t>Bulletin of the World Health Organization (nih.gov)</t>
  </si>
  <si>
    <t>Comorbilidad entre obesidad y tabaquismo, y su asociación con factores de riesgo cardiometabólicos: Resultados de la Encuesta Nacional de Salud 2016-2017</t>
  </si>
  <si>
    <t>Revista Médica de Chile</t>
  </si>
  <si>
    <t>ene-24</t>
  </si>
  <si>
    <t>152-8-18</t>
  </si>
  <si>
    <t>http://dx.doi.org/10.4067/s0034-98872024000100007 </t>
  </si>
  <si>
    <t>0034-9887</t>
  </si>
  <si>
    <t>Comorbilidad entre obesidad y tabaquismo, y su asociación con factores de riesgo cardiometabólicos: Resultados de la Encuesta Nacional de Salud 2016-2017 (scielo.cl)</t>
  </si>
  <si>
    <t>Community preparedness for natural hazards in two Chilean coastal cities</t>
  </si>
  <si>
    <t xml:space="preserve">Castañeda, J. V., Repetto, P. B., Bronfman, N. C., &amp; Cisternas, P. C. </t>
  </si>
  <si>
    <t>Journal of Risk Research</t>
  </si>
  <si>
    <t>2024,1-21</t>
  </si>
  <si>
    <t>https://doi.org/10.1080/13669877.2024.2387355</t>
  </si>
  <si>
    <t>1466-4461</t>
  </si>
  <si>
    <t>Full article: Community preparedness for natural hazards in two Chilean coastal cities</t>
  </si>
  <si>
    <t xml:space="preserve"> 4-5</t>
  </si>
  <si>
    <t>Improving efficiency in healtcare: lessons from succesful health policies in Chile</t>
  </si>
  <si>
    <r>
      <rPr>
        <b/>
        <sz val="11"/>
        <color rgb="FF000000"/>
        <rFont val="Calibri"/>
        <family val="2"/>
      </rPr>
      <t>Espinoza, MA</t>
    </r>
    <r>
      <rPr>
        <sz val="11"/>
        <color rgb="FF000000"/>
        <rFont val="Calibri"/>
        <family val="2"/>
      </rPr>
      <t xml:space="preserve">., Zamorano, P., Zuñiga-San Martin, C., </t>
    </r>
    <r>
      <rPr>
        <b/>
        <sz val="11"/>
        <color rgb="FF000000"/>
        <rFont val="Calibri"/>
        <family val="2"/>
      </rPr>
      <t>Taramasco, C., Martinez, F</t>
    </r>
    <r>
      <rPr>
        <sz val="11"/>
        <color rgb="FF000000"/>
        <rFont val="Calibri"/>
        <family val="2"/>
      </rPr>
      <t>., Becerra, S., Letelier, MJ., Armijo, N.</t>
    </r>
  </si>
  <si>
    <t>Archives of Medical Research</t>
  </si>
  <si>
    <t>ene-25</t>
  </si>
  <si>
    <t>56, 103105</t>
  </si>
  <si>
    <t>https://doi.org/10.1016/j.arcmed.2024.103105</t>
  </si>
  <si>
    <t>1873-5487</t>
  </si>
  <si>
    <t>Improving Efficiency in Healthcare: Lessons from Successful Health Policies in Chile - ScienceDirect</t>
  </si>
  <si>
    <t>Journal of Pain and Symptom Management</t>
  </si>
  <si>
    <t>ago-24</t>
  </si>
  <si>
    <t>68, e116- e137</t>
  </si>
  <si>
    <t>https://doi.org/10.1016/j.jpainsymman.2024.03.027</t>
  </si>
  <si>
    <t>1873-6513</t>
  </si>
  <si>
    <t>Global Assessment of Palliative Care Need: Serious Health-Related Suffering Measurement Methodology - ScienceDirect</t>
  </si>
  <si>
    <t>Deep Learning Techniques for Oral Cancer Detection: Enhancing Clinical Diagnosis by ResNet and DenseNet Performance</t>
  </si>
  <si>
    <t>Porcentaje financiam. FONDAP</t>
  </si>
  <si>
    <t>CARTAS AL EDITOR: El preocupante escenario del cáncer en Chile y
sus proyecciones, ¿qué estamos haciendo?</t>
  </si>
  <si>
    <r>
      <rPr>
        <b/>
        <sz val="11"/>
        <color theme="1"/>
        <rFont val="Calibri"/>
        <family val="2"/>
        <scheme val="minor"/>
      </rPr>
      <t>Solange Parra-Soto, Sandra López, Lorena Rodríguez-Osiac</t>
    </r>
    <r>
      <rPr>
        <sz val="11"/>
        <color theme="1"/>
        <rFont val="Calibri"/>
        <family val="2"/>
        <scheme val="minor"/>
      </rPr>
      <t>, Carlos Celis-Morales</t>
    </r>
  </si>
  <si>
    <t xml:space="preserve"> 151: 1654-1656</t>
  </si>
  <si>
    <t>Actualizado por Carolina Cabrera:  20-07-2024</t>
  </si>
  <si>
    <t>REGISTRO DE PUBLICACIONES DE LIBROS CECAN</t>
  </si>
  <si>
    <t>ENVIAR ESTE ARCHIVO AL INVESTIGADOR RESPONSABLE</t>
  </si>
  <si>
    <t xml:space="preserve">COMPLETAR CUANDO EL LIBRO HAYA SIDO PUBLICADO </t>
  </si>
  <si>
    <t>TÍtulo del libro</t>
  </si>
  <si>
    <t>Nombres Investigadores CECAN</t>
  </si>
  <si>
    <t>Nombre Editores</t>
  </si>
  <si>
    <t>Editorial</t>
  </si>
  <si>
    <t>Ciudad/país</t>
  </si>
  <si>
    <t>Costo Publicación  libro</t>
  </si>
  <si>
    <t>Nr. de Edición</t>
  </si>
  <si>
    <t>Nr. de inscripción</t>
  </si>
  <si>
    <t>ISBN Nr.</t>
  </si>
  <si>
    <t>ISBN DIGITAL NR.</t>
  </si>
  <si>
    <t>Fecha de impresión</t>
  </si>
  <si>
    <t>Nr. pág. Inicio y Nr. pág. final</t>
  </si>
  <si>
    <t>LINK</t>
  </si>
  <si>
    <t>Los  casilleros de este  color  deben ser llenados para efectos de programacion  y solictud  anticipada de financimiento.</t>
  </si>
  <si>
    <t>REGISTRO DE CAPÍTULOS DE LIBROS CECAN</t>
  </si>
  <si>
    <t>COMPLETAR CUANDO SE HAYA PUBLICADO</t>
  </si>
  <si>
    <t>Título del capítulo de libro</t>
  </si>
  <si>
    <t>Autores del capítulo del libro</t>
  </si>
  <si>
    <t>Nr. de página de inicio y término del capítulo</t>
  </si>
  <si>
    <t>Título del libro</t>
  </si>
  <si>
    <t>Autores del libro</t>
  </si>
  <si>
    <t>Editores</t>
  </si>
  <si>
    <t>Nr. total de páginas del libro</t>
  </si>
  <si>
    <t>Link</t>
  </si>
  <si>
    <t>CAPÍTULO 2
Propuesta de política pública para la prevención del cáncer gástrico en Chile</t>
  </si>
  <si>
    <t>Riquelme, Arnoldo; Espinoza, Manuel; Fuentes, Eduardo</t>
  </si>
  <si>
    <t xml:space="preserve"> 41-67</t>
  </si>
  <si>
    <t>Manuel Espinoza, Arnoldo Riquelme</t>
  </si>
  <si>
    <t>Propuestas para Chile 2022</t>
  </si>
  <si>
    <t>Marcela Aracena, Fabiola Cortez-Monroy, Mauricio Soto, Pilar Monsalve, Patricia Basualto, Rodrigo Quiroz, Claudia Cerfogli, Arnoldo Riquelme, Manuel Espinoza, Eduardo Fuentes, María Magdalena Vera, Noskar Navarro, Patricio García, Noelia Rojas, Ricardo Ca</t>
  </si>
  <si>
    <t>Ignacio Irarrázaval
Elisa Piña
Eva Hopenhayn
Juan Pablo Ramaciotti</t>
  </si>
  <si>
    <t>Santiago, Chile</t>
  </si>
  <si>
    <t xml:space="preserve"> Abril 2023</t>
  </si>
  <si>
    <t>Primera Edición (250 ejs)</t>
  </si>
  <si>
    <t>Inscripción N° 2023-A-2609</t>
  </si>
  <si>
    <t>978-956-14-3081-5</t>
  </si>
  <si>
    <t>https://politicaspublicas.uc.cl/content/uploads/2023/04/Propuestas-para-Chile-2022-CAPITULO-2.pdf</t>
  </si>
  <si>
    <t>Beyond tobacco: genomic disparities in lung cancer between smokers and never-smokers.</t>
  </si>
  <si>
    <t>BMC Cancer</t>
  </si>
  <si>
    <t>https://doi.org/10.1186/s12885-024-12737-1</t>
  </si>
  <si>
    <r>
      <t xml:space="preserve">Rodrigo Santis 1, Francisco Del Río 1, </t>
    </r>
    <r>
      <rPr>
        <b/>
        <sz val="11"/>
        <color theme="1"/>
        <rFont val="Calibri"/>
        <family val="2"/>
        <scheme val="minor"/>
      </rPr>
      <t>Claudia Bambs 2, Paula Margozzini 2</t>
    </r>
    <r>
      <rPr>
        <sz val="11"/>
        <color theme="1"/>
        <rFont val="Calibri"/>
        <family val="2"/>
        <scheme val="minor"/>
      </rPr>
      <t>, Marcela Babul 1, Florencia Santis a, Sofía Herrera 1</t>
    </r>
  </si>
  <si>
    <t>1 Escuela Ingeniería y Negocios, Ingenieria Civil Informatica,
Universidad, 2520000 Viña del Mar, Chile
2 Instituto de Tecnologıa para la Innovacion en Salud y Bienestar, ITISB, Nucleo Milenio de Sociomedicina, Facultad de Ingenierıa, Universidad Andres Bello, Santiago, Chile
3 Facultad de Ingenierıa, Universidad Andres Bello, 2520000 Viña del Mar, Chile</t>
  </si>
  <si>
    <t>1 University of Miami Institute for Advanced Study of the Americas, University of Miami (X.J.K., A.B., H.A.-O., W.E.R., R.C., V.V.E., F.M.K.), Miami, Florida, USA
2 Department of Public Health, College of Health and Human Sciences (A.B.), Purdue University, West Lafayette, Indiana, USA
3 Institute for Obesity Research, Tecnologico de Monterrey (H.A.-O.), Monterrey, Mexico
4 School of Government and Public Transformation, Tecnologico de Monterrey, Mexico City, Mexico
5 Tómatelo a Pecho, A.C. (H.A-O., O.M., F.M.K.), Mexico City, Mexico
6 Fundación Mexicana para la Salud (FUNSALUD) (H.A.-O.), Mexico City, México
7 Department of Psychiatry and Behavioral Sciences (W.E.R.), Memorial Sloan Kettering Cancer Center, New York, New York, USA
8 Worldwide Hospice Palliative Care Alliance (S.C.), London, UK
9 International Children's Palliative Care Network (J.D.), Bristol, UK
10 University of California (D.J.), San Francisco, California, USA
11 Department of Global Health, University of Washington (D.W.), Seattle, Washington, USA
12 Indiana University School of Medicine (J.C.), Indianapolis, Indiana, USA
13 Center for Social Medicine and Humanities, University of California, Los Angeles, California, USA
14 International Association of Hospice and Palliative Care (L.D.L.), Houston, Texas, USA
15 African Center for Research on End of Life Care (C.N.), Kigali, Rwanda
16 Department of Palliative Medicine, Medical Faculty, RWTH Aachen University, Aachen, Germany
17 Sección Medicina Paliativa, Facultad de Medicina, Pontificia Universidad Católica de Chile, Santiago, Chile
18 Centro para la Prevención y el Control del Cáncer (CECAN), Pontificia Universidad Católica de Chile, Santiago, Chile
19 University of the West Indies (D.S.), Mona, Jamaica
20 Pallium India Trust (M.R.R.), Kerala, India
21 Department of Global Health &amp; Social Medicine, Harvard Medical School (E.L.K.), Boston, Massachusetts, USA
22 Sylvester Comprehensive Cancer Center, Miller School of Medicine (F.M.K.), University of Miami, Miami, Florida, USA
23 Leonard M. Miller School of Medicine (F.M.K.), University of Miami, Miami, Florida, USA</t>
  </si>
  <si>
    <t>Nro. Asociadas Nacionales</t>
  </si>
  <si>
    <t>Nro. Asociadas Internacionales</t>
  </si>
  <si>
    <t>2Marie-Josée and Henry R. Kravis Center for Molecular Oncology, Memorial Sloan Kettering Cancer Center, New York, NY/ 4Department of Medicine, Memorial Sloan Kettering Cancer Center, New York, NY, USA/ 6Weill Medical College at Cornell University, Cancer Center, New York, NY, USA/ 8Trinity College, Dublin Medical School, Dublin, Ireland</t>
  </si>
  <si>
    <t xml:space="preserve">4 4Division of Oncology, Department of Medicine, School of Medicine, Stanford University, Stanford, CA 94305, USA/ 6- Fundación para el Progreso de la Medicina (CONICET), Córdoba X5000, Argentina/7 Facultad de Ciencias Exactas, Físicas y Naturales, Universidad Nacional de Córdoba, Córdoba X5000, Argentina </t>
  </si>
  <si>
    <t xml:space="preserve">
b  Finnish Institute for Health and Welfare, Helsinki, Finland.
c  Universidad Científica del Sur, Lima, Peru.
d  Faculty of Medicine and Surgery, University of Malta, Msida, Malta.
e  Istituto Superiore di Sanità, Rome, Italy.
f  Department of Oncology, Georgetown University Medical Centre, Washington DC., United States of America.
g  Department of Epidemiology and Public Health, University College London, 1–19 Torrington Place, London, WC1E 6BT, England.
h  Wolfson Institute of Population Health, Queen Mary University of London, London, England.</t>
  </si>
  <si>
    <t>a  Department of Public Health, Pontificia Universidad Católica de Chile, Santiago, Chile.</t>
  </si>
  <si>
    <t>1Departamento de Psiquiatría, Facultad de Medicina, Pontificia Universidad Católica de Chile. Diagonal Paraguay 362, 5to piso, Santiago, Chile.
2Departamento de Salud Pública, Facultad de Medicina, Pontificia Universidad Católica de Chile. Diagonal, Paraguay 362, Segundo piso, Santiago, Chile.
3Centro Avanzado de Enfermedades Crónicas ACCDiS (FONDAP 1513001). Sergio Livingstone 1007, Independencia, Santiago, Chile.
4Centro para la Prevención y el Control del Cáncer CECAN. Santiago, Chile.                                                                                                aEstudiante de Medicina, Escuela de Medicina, Pontificia Universidad Católica de Chile.</t>
  </si>
  <si>
    <t>2Department of General Practice, School of Medicine, Dentistry, and Health Services, University of Melbourne, Melbourne, VIC, Australia</t>
  </si>
  <si>
    <t xml:space="preserve">4US Centers for Disease Control and Prevention, Atlanta, Georgia, USA/ 7Department of Pathology, Microbiology and Immunology, Vanderbilt University Medical Center, Nashville, Tennessee, USA                        15CIFAR Azrieli Global Scholars program, CIFAR, Toronto, Canada; 16Division of Infectious Diseases, Warren Alpert School of Medicine, Brown University, Providence, Rhode Island, USA; </t>
  </si>
  <si>
    <t>Advanced Center for Chronic Diseases (ACCDiS), Santiago, Chile;3Multidisciplinary Initiative for Collaborative Research in Bacterial Resistance (MICROB-R), Santiago, ChileHospital Puerto Montt, Facultad de Medicina, Universidad San Sebastián, Chile; 9Hospital Regional
de Antofagasta, Universidad de Antofagasta, Chile; 10Laboratorio Clínico, Hospital Padre Hurtado, Chile; 11Departamento de Ciencias Preclínicas, Facultad de Medicina, Universidad Católica del
Maule, Talca, Chile/ 14Research Center for Integrated Disaster Risk Management (CIGIDEN), Santiago, Chile;</t>
  </si>
  <si>
    <t>Institute of Biomedical Sciences, Faculty of Health Sciences, Universidad Autónoma de Chile, Temuco 4810101, Chile
2 Millennium Institute on Immunology and Immunotherapy (MIII</t>
  </si>
  <si>
    <t>Advanced Center for Chronic Diseases (ACCDiS), Faculty of Medicine, Pontificia Universidad Católica de Chile (PUC),</t>
  </si>
  <si>
    <t>Division of Oncology, Department of Medicine, Stanford University School of Medicine, Stanford, CA 94305, USA</t>
  </si>
  <si>
    <t>Department of Pathology, Sisli Hamidiye Etfal Training and Research Hospital, Istanbul 34396, Turkey
2 Department of Pathology, Koc University, Istanbul 34450, Turkey Department of Pathology, Wayne State University, Detroit, MI 48202, USA
5 Department of Pathology, Emory University, Atlanta, GA 30322, USA
6 Department of Pathology, Marmara University, Istanbul 34854, Turkey
7 Department of Pathology and Laboratory Medicine, Memorial Sloan Kettering Cancer Center, New York, NY 10065, USA</t>
  </si>
  <si>
    <t>aDepartment of Medicine, Vanderbilt University Medical Center, Nashville, TN, USA;                                                                             bDepartment of Biology, Davidson College, Davidson, NC,USA;                                                                                                          cSchool of Medicine, University of Puerto Rico, San Juan, USA/       eSchool of Medicine, Systems Biology Ireland and
The Conway Institute, University College Dublin, Dublin, Ireland; fDepartment of Pathology, Microbiology, and Immunology, Vanderbilt
University Medical Center, Nashville, TN, USA</t>
  </si>
  <si>
    <t>Instituto de Cáncer, Red de Salud UC-Christus, Santiago 8330032, Chile
3 Laboratorio de Infectología y Virología Molecular, Red de Salud UC Christus,Millennium Institute on Immunology and Immunotherapy, Departamento de Genética Molecular y Microbiología, Facultad de Ciencias Biológicas, Pontificia Universidad Católica de Chile,</t>
  </si>
  <si>
    <t>Publicación Institución Internacional</t>
  </si>
  <si>
    <t>Publicación Institución Nacional</t>
  </si>
  <si>
    <t>Nr Publicación Institución Internacional</t>
  </si>
  <si>
    <t>Nr Publicación Institución Nacional</t>
  </si>
  <si>
    <r>
      <t xml:space="preserve">Pablo Ormeño-Arriagada, Eduardo Navarro, </t>
    </r>
    <r>
      <rPr>
        <b/>
        <sz val="11"/>
        <color theme="1"/>
        <rFont val="Calibri"/>
        <family val="2"/>
        <scheme val="minor"/>
      </rPr>
      <t>Carla Taramasco</t>
    </r>
    <r>
      <rPr>
        <sz val="11"/>
        <color theme="1"/>
        <rFont val="Calibri"/>
        <family val="2"/>
        <scheme val="minor"/>
      </rPr>
      <t>,  Gustavo Gatica, Juan Pablo Vásconez</t>
    </r>
  </si>
  <si>
    <r>
      <t>Nr.</t>
    </r>
    <r>
      <rPr>
        <sz val="8"/>
        <color rgb="FF000000"/>
        <rFont val="Calibri"/>
        <family val="2"/>
      </rPr>
      <t> </t>
    </r>
  </si>
  <si>
    <r>
      <t>Publication name</t>
    </r>
    <r>
      <rPr>
        <sz val="8"/>
        <color rgb="FF000000"/>
        <rFont val="Calibri"/>
        <family val="2"/>
      </rPr>
      <t> </t>
    </r>
  </si>
  <si>
    <r>
      <t>Author</t>
    </r>
    <r>
      <rPr>
        <sz val="8"/>
        <color rgb="FF000000"/>
        <rFont val="Calibri"/>
        <family val="2"/>
      </rPr>
      <t> </t>
    </r>
  </si>
  <si>
    <r>
      <t>Journal</t>
    </r>
    <r>
      <rPr>
        <sz val="8"/>
        <color rgb="FF000000"/>
        <rFont val="Calibri"/>
        <family val="2"/>
      </rPr>
      <t> </t>
    </r>
  </si>
  <si>
    <r>
      <t>DOI</t>
    </r>
    <r>
      <rPr>
        <sz val="8"/>
        <color rgb="FF000000"/>
        <rFont val="Calibri"/>
        <family val="2"/>
      </rPr>
      <t> </t>
    </r>
  </si>
  <si>
    <r>
      <t>1</t>
    </r>
    <r>
      <rPr>
        <sz val="8"/>
        <color rgb="FF000000"/>
        <rFont val="Calibri"/>
        <family val="2"/>
      </rPr>
      <t> </t>
    </r>
  </si>
  <si>
    <t>Effects in Quality of Life of a Telemonitoring Platform Amongs Patients with Cancer (EQUALITE): A Randomized Trial Protocol </t>
  </si>
  <si>
    <r>
      <t>Felipe Martínez, Carla Taramasco, Manuel Espinoza, Johanna Acevedo, Carolina Goic, and Bruno Nervi</t>
    </r>
    <r>
      <rPr>
        <sz val="8"/>
        <color rgb="FF000000"/>
        <rFont val="Calibri"/>
        <family val="2"/>
      </rPr>
      <t> </t>
    </r>
  </si>
  <si>
    <t>MDPI: Methods and protocols </t>
  </si>
  <si>
    <t>https://doi.org/10.3390/mps7020024  </t>
  </si>
  <si>
    <r>
      <t>2</t>
    </r>
    <r>
      <rPr>
        <sz val="8"/>
        <color rgb="FF000000"/>
        <rFont val="Calibri"/>
        <family val="2"/>
      </rPr>
      <t> </t>
    </r>
  </si>
  <si>
    <t>Differential Effects of a Telemonitoring Platform in the Development of Chemotherapy-Associated Toxicity: A Randomised Trial Protocol </t>
  </si>
  <si>
    <r>
      <t>Felipe Martínez, Carla Taramasco, Manuel Espinoza, Johanna Acevedo, Carolina Goic, Bruno Nervi</t>
    </r>
    <r>
      <rPr>
        <sz val="8"/>
        <color rgb="FF000000"/>
        <rFont val="Calibri"/>
        <family val="2"/>
      </rPr>
      <t> </t>
    </r>
  </si>
  <si>
    <t>MDPI: Diagnostics </t>
  </si>
  <si>
    <t>https://doi.org/10.3390/diagnostics14060619 </t>
  </si>
  <si>
    <r>
      <t>3</t>
    </r>
    <r>
      <rPr>
        <sz val="8"/>
        <color rgb="FF000000"/>
        <rFont val="Calibri"/>
        <family val="2"/>
      </rPr>
      <t> </t>
    </r>
  </si>
  <si>
    <t>The legal path for priority setting in Chile: A critical analysis to impove health planning and stewardship </t>
  </si>
  <si>
    <r>
      <t>Manuel A. Espinoza, Baltica Cabieses, Carolina Goic</t>
    </r>
    <r>
      <rPr>
        <sz val="8"/>
        <color rgb="FF000000"/>
        <rFont val="Calibri"/>
        <family val="2"/>
      </rPr>
      <t>, Alejandro Andrade </t>
    </r>
  </si>
  <si>
    <t>Frontiers in Public Health </t>
  </si>
  <si>
    <t>https://doi.org/10.3389/fpubh.2023.1302640 </t>
  </si>
  <si>
    <r>
      <t>4</t>
    </r>
    <r>
      <rPr>
        <sz val="8"/>
        <color rgb="FF000000"/>
        <rFont val="Calibri"/>
        <family val="2"/>
      </rPr>
      <t> </t>
    </r>
  </si>
  <si>
    <t>Desafíos en la vigilancia de todos los casos de cáncer: Registro Nacional de Cáncer Chileno </t>
  </si>
  <si>
    <r>
      <t>Carla Taramasco</t>
    </r>
    <r>
      <rPr>
        <sz val="8"/>
        <rFont val="Calibri"/>
        <family val="2"/>
      </rPr>
      <t xml:space="preserve">, Carla Rimassa, </t>
    </r>
    <r>
      <rPr>
        <b/>
        <sz val="8"/>
        <rFont val="Calibri"/>
        <family val="2"/>
      </rPr>
      <t>Johanna Acevedo</t>
    </r>
    <r>
      <rPr>
        <sz val="8"/>
        <rFont val="Calibri"/>
        <family val="2"/>
      </rPr>
      <t> </t>
    </r>
  </si>
  <si>
    <t>Medwave </t>
  </si>
  <si>
    <t>http://doi.org/10.5867/medwave.2024.01.2771  </t>
  </si>
  <si>
    <r>
      <t>5</t>
    </r>
    <r>
      <rPr>
        <sz val="8"/>
        <color rgb="FF000000"/>
        <rFont val="Calibri"/>
        <family val="2"/>
      </rPr>
      <t> </t>
    </r>
  </si>
  <si>
    <t>A Contemporary Review of Breast Cancer Risk Factors and the Role of Artificial Intelligence </t>
  </si>
  <si>
    <r>
      <t>Orietta Nicolis, Denisse de Los Angeles and Carla Taramasco</t>
    </r>
    <r>
      <rPr>
        <sz val="8"/>
        <color rgb="FF000000"/>
        <rFont val="Calibri"/>
        <family val="2"/>
      </rPr>
      <t> </t>
    </r>
  </si>
  <si>
    <t>Frontiers in Oncology </t>
  </si>
  <si>
    <t>https://doi.org/10.3389/fonc.2024.1356014 </t>
  </si>
  <si>
    <r>
      <t>6</t>
    </r>
    <r>
      <rPr>
        <sz val="8"/>
        <color rgb="FF000000"/>
        <rFont val="Calibri"/>
        <family val="2"/>
      </rPr>
      <t> </t>
    </r>
  </si>
  <si>
    <t>Distinct Driver Pathway Enrichments and a High Prevalence od TSC2 Mutstions in Right Colon Cancer in Chile: A comparative Analysis </t>
  </si>
  <si>
    <r>
      <t xml:space="preserve">Camilo Tapia-Valladares, Guillermo Valenzuela, Evelin González, Ignacio Maureira, Jessica Toro, Matías Freire, Gonzalo Sepúlveda-Hermosilla, Diego Ampuero, Alejandro Blanco, Iván Gallegos, Fernanda Morales, José I. Erices, Olga Barajas, Mónica Ahumada, </t>
    </r>
    <r>
      <rPr>
        <b/>
        <sz val="8"/>
        <color rgb="FF000000"/>
        <rFont val="Calibri"/>
        <family val="2"/>
      </rPr>
      <t>Héctor R. Contreras</t>
    </r>
    <r>
      <rPr>
        <sz val="8"/>
        <color rgb="FF000000"/>
        <rFont val="Calibri"/>
        <family val="2"/>
      </rPr>
      <t xml:space="preserve">, Jaime González, Ricardo Armisén and </t>
    </r>
    <r>
      <rPr>
        <b/>
        <sz val="8"/>
        <color rgb="FF000000"/>
        <rFont val="Calibri"/>
        <family val="2"/>
      </rPr>
      <t>Katherine Marcelain</t>
    </r>
    <r>
      <rPr>
        <sz val="8"/>
        <color rgb="FF000000"/>
        <rFont val="Calibri"/>
        <family val="2"/>
      </rPr>
      <t> </t>
    </r>
  </si>
  <si>
    <t>MDPI: International Journal of Molecular Science </t>
  </si>
  <si>
    <t>https://doi.org/10.3390/ijms25094695 </t>
  </si>
  <si>
    <r>
      <t>7</t>
    </r>
    <r>
      <rPr>
        <sz val="8"/>
        <color rgb="FF000000"/>
        <rFont val="Calibri"/>
        <family val="2"/>
      </rPr>
      <t> </t>
    </r>
  </si>
  <si>
    <t>Barriers to the use of test for early detection of colorectal cancer in Chile </t>
  </si>
  <si>
    <r>
      <t>Gabriela Alfaro, Zoltan Berger,</t>
    </r>
    <r>
      <rPr>
        <b/>
        <sz val="8"/>
        <color rgb="FF000000"/>
        <rFont val="Calibri"/>
        <family val="2"/>
      </rPr>
      <t xml:space="preserve"> Susana Mondschein</t>
    </r>
    <r>
      <rPr>
        <sz val="8"/>
        <color rgb="FF000000"/>
        <rFont val="Calibri"/>
        <family val="2"/>
      </rPr>
      <t>, Felipe Subiabre, Natalia Yankovic </t>
    </r>
  </si>
  <si>
    <t>Scientific Reports (de Nature) </t>
  </si>
  <si>
    <t>https://doi.org/10.1038/s41598-024-58920-z </t>
  </si>
  <si>
    <r>
      <t>8</t>
    </r>
    <r>
      <rPr>
        <sz val="8"/>
        <color rgb="FF000000"/>
        <rFont val="Calibri"/>
        <family val="2"/>
      </rPr>
      <t> </t>
    </r>
  </si>
  <si>
    <t>Cancer advocacy in residency education: From principles to competencies </t>
  </si>
  <si>
    <r>
      <t>Klaus Puschel</t>
    </r>
    <r>
      <rPr>
        <sz val="8"/>
        <color rgb="FF000000"/>
        <rFont val="Calibri"/>
        <family val="2"/>
      </rPr>
      <t xml:space="preserve">, Beti Thompson, </t>
    </r>
    <r>
      <rPr>
        <b/>
        <sz val="8"/>
        <color rgb="FF000000"/>
        <rFont val="Calibri"/>
        <family val="2"/>
      </rPr>
      <t>Andrea Rioseco</t>
    </r>
    <r>
      <rPr>
        <sz val="8"/>
        <color rgb="FF000000"/>
        <rFont val="Calibri"/>
        <family val="2"/>
      </rPr>
      <t xml:space="preserve">, Augusto Leon, </t>
    </r>
    <r>
      <rPr>
        <b/>
        <sz val="8"/>
        <color rgb="FF000000"/>
        <rFont val="Calibri"/>
        <family val="2"/>
      </rPr>
      <t>Carolina Goic</t>
    </r>
    <r>
      <rPr>
        <sz val="8"/>
        <color rgb="FF000000"/>
        <rFont val="Calibri"/>
        <family val="2"/>
      </rPr>
      <t>, Isabella Fuentes, Zdenka Vescovi </t>
    </r>
  </si>
  <si>
    <t>Journal of Cancer Policy </t>
  </si>
  <si>
    <t>https://doi.org/10.1016/j.jcpo.2024.100470 </t>
  </si>
  <si>
    <r>
      <t>9</t>
    </r>
    <r>
      <rPr>
        <sz val="8"/>
        <color rgb="FF000000"/>
        <rFont val="Calibri"/>
        <family val="2"/>
      </rPr>
      <t> </t>
    </r>
  </si>
  <si>
    <t>Estrategias para la prevención primaria y secundariadel cáncer gástrico: consenso chileno de panel deexpertos con técnica Delfi </t>
  </si>
  <si>
    <r>
      <t xml:space="preserve">Óscar Corsi Sotelo, Margarita Pizarro Rojas, Antonio Rollán Rodríguez,Verónica Silva Figueroa, Raúl Araya Jofréd, María Ester Bufadel Godoy,Pablo Cortés González, Robinson González Donoso, Eduardo Fuentes López,Gonzalo Latorre Selvat, Patricio Medel-Jarah, Diego Reyes Placencia, Mauricio Pizarro Véliz, María Jesús Garchitorena Marqués, María Trinidad Zegers Vial, Francisca Crispi Galleguillos, </t>
    </r>
    <r>
      <rPr>
        <b/>
        <sz val="8"/>
        <color rgb="FF000000"/>
        <rFont val="Calibri"/>
        <family val="2"/>
      </rPr>
      <t>Manuel A. Espinoza,y Arnoldo Riquelme Pérez</t>
    </r>
    <r>
      <rPr>
        <sz val="8"/>
        <color rgb="FF000000"/>
        <rFont val="Calibri"/>
        <family val="2"/>
      </rPr>
      <t> </t>
    </r>
  </si>
  <si>
    <t>Gastroenterología y Hepatología </t>
  </si>
  <si>
    <t>https://doi.org/10.1016/j.gastrohep.2024.01.008 </t>
  </si>
  <si>
    <r>
      <t>10</t>
    </r>
    <r>
      <rPr>
        <sz val="8"/>
        <color rgb="FF000000"/>
        <rFont val="Calibri"/>
        <family val="2"/>
      </rPr>
      <t> </t>
    </r>
  </si>
  <si>
    <r>
      <t xml:space="preserve">Sebastián Indo, Octavio Orellana-Serradell, María José Torres, </t>
    </r>
    <r>
      <rPr>
        <b/>
        <sz val="8"/>
        <color rgb="FF000000"/>
        <rFont val="Calibri"/>
        <family val="2"/>
      </rPr>
      <t>Enrique A. Castellón and Héctor R. Contreras</t>
    </r>
    <r>
      <rPr>
        <sz val="8"/>
        <color rgb="FF000000"/>
        <rFont val="Calibri"/>
        <family val="2"/>
      </rPr>
      <t> </t>
    </r>
  </si>
  <si>
    <t>MDPI: International Journal of Molecular Sciencies </t>
  </si>
  <si>
    <t>https://doi.org/10.3390/ijms25063332 </t>
  </si>
  <si>
    <r>
      <t>11</t>
    </r>
    <r>
      <rPr>
        <sz val="8"/>
        <color rgb="FF000000"/>
        <rFont val="Calibri"/>
        <family val="2"/>
      </rPr>
      <t> </t>
    </r>
  </si>
  <si>
    <t>Comparison of OLGA and OLGIM as predictors of gastric cancer in a Latin American population: the ECHOS Study </t>
  </si>
  <si>
    <r>
      <t xml:space="preserve">Gonzalo Latorre, Felipe Silva, Isabella Montero, Miguel Bustamante, Eitan Dukes, Javier Uribe, Oscar Corsi Sotelo,  Diego Reyes, Eduardo Fuentes-López, Margarita Pizarro, Patricio Medel, Javiera Torres, </t>
    </r>
    <r>
      <rPr>
        <b/>
        <sz val="8"/>
        <color rgb="FF000000"/>
        <rFont val="Calibri"/>
        <family val="2"/>
      </rPr>
      <t>Juan Carlos Roa</t>
    </r>
    <r>
      <rPr>
        <sz val="8"/>
        <color rgb="FF000000"/>
        <rFont val="Calibri"/>
        <family val="2"/>
      </rPr>
      <t xml:space="preserve">, Sebastián Pizarro, Pablo Achurra, Andrés Donoso, Ignacio Wichmann, Alejandro H Corvalán, Javier Chahuan, Roberto Candia, Carlos Agüero, Robinson Gonzalez, Jose Ignacio Vargas, Alberto Espino, M Constanza Camargo, Shailja Shah, </t>
    </r>
    <r>
      <rPr>
        <b/>
        <sz val="8"/>
        <color rgb="FF000000"/>
        <rFont val="Calibri"/>
        <family val="2"/>
      </rPr>
      <t>Arnoldo Riquelme</t>
    </r>
    <r>
      <rPr>
        <sz val="8"/>
        <color rgb="FF000000"/>
        <rFont val="Calibri"/>
        <family val="2"/>
      </rPr>
      <t> </t>
    </r>
  </si>
  <si>
    <t>GUT </t>
  </si>
  <si>
    <t>https://doi.org/10.1136/gutjnl-2023-331059 </t>
  </si>
  <si>
    <r>
      <t>12</t>
    </r>
    <r>
      <rPr>
        <sz val="8"/>
        <color rgb="FF000000"/>
        <rFont val="Calibri"/>
        <family val="2"/>
      </rPr>
      <t> </t>
    </r>
  </si>
  <si>
    <t>Quadruple therapies show a higher eradication rate compared to standard triple therapy for Helicobacter pylori infection within the LEGACy consortium. A multicenter observational study in European and Latin American countries  </t>
  </si>
  <si>
    <r>
      <t xml:space="preserve">Patricio Medel-Jara, MPH, PhD; Diego Reyes Placencia, MD; Eduardo Fuentes-López, PhD; Oscar Corsi MD, MPH ; Gonzalo Latorre, MD; Rosario Antón, MD; Elena Jiménez, PhD; Ana Miralles-Marco,Ph7; Carmelo Caballero, MD, PhD; Hugo Boggino, MD; Daniel Cantero, MD; Rita Barros, BSc, PhD; João Santos- Antunes, MD, PhD; Marc Díez, MD; Luis A. Quiñones, Ph; Erick Riquelme, PhD; Antonio Rollán, MD; Leslie C. Cerpa, PhD(c); Ivania Valdés PhD(c; Olga P. Nyssen, BSc, PhD; Leticia Moreira, MD, PhD; Javier P. Gisbert MD, PhD; M. Constanza Camargo, PhD; Nayeli Ortiz-Olvera; Alberto M. Leon-Takahashi, MD, MHA; Erika Ruiz-Garcia, Edith A. Fernández-Figueroa; Marcelo Garrido, MD ; </t>
    </r>
    <r>
      <rPr>
        <b/>
        <sz val="8"/>
        <color rgb="FF000000"/>
        <rFont val="Calibri"/>
        <family val="2"/>
      </rPr>
      <t>Gareth I. Owen</t>
    </r>
    <r>
      <rPr>
        <sz val="8"/>
        <color rgb="FF000000"/>
        <rFont val="Calibri"/>
        <family val="2"/>
      </rPr>
      <t xml:space="preserve">, Andrés Cervantes, MD, PhD; Tania Fleitas, MD, PhD; </t>
    </r>
    <r>
      <rPr>
        <b/>
        <sz val="8"/>
        <color rgb="FF000000"/>
        <rFont val="Calibri"/>
        <family val="2"/>
      </rPr>
      <t>Arnoldo Riquelme,</t>
    </r>
    <r>
      <rPr>
        <sz val="8"/>
        <color rgb="FF000000"/>
        <rFont val="Calibri"/>
        <family val="2"/>
      </rPr>
      <t xml:space="preserve"> MD. </t>
    </r>
  </si>
  <si>
    <t>United European Gastroenterology Journal </t>
  </si>
  <si>
    <t>https://doi.org/10.1002/ueg2.12605 </t>
  </si>
  <si>
    <r>
      <t>13</t>
    </r>
    <r>
      <rPr>
        <sz val="8"/>
        <color rgb="FF000000"/>
        <rFont val="Calibri"/>
        <family val="2"/>
      </rPr>
      <t> </t>
    </r>
  </si>
  <si>
    <t>LINC00662 promotes aggressive traits by modulating OCT4 ex-pression through miR-335-5p in gallbladder cancer cells </t>
  </si>
  <si>
    <r>
      <t xml:space="preserve">Pablo Pérez-Moreno, Ismael Riquelme, </t>
    </r>
    <r>
      <rPr>
        <b/>
        <sz val="8"/>
        <color rgb="FF000000"/>
        <rFont val="Calibri"/>
        <family val="2"/>
      </rPr>
      <t>Carolina Bizama</t>
    </r>
    <r>
      <rPr>
        <sz val="8"/>
        <color rgb="FF000000"/>
        <rFont val="Calibri"/>
        <family val="2"/>
      </rPr>
      <t xml:space="preserve">, Luis Vergara-Gómez, Julio C. Tapia, Priscilla Brebi, </t>
    </r>
    <r>
      <rPr>
        <b/>
        <sz val="8"/>
        <color rgb="FF000000"/>
        <rFont val="Calibri"/>
        <family val="2"/>
      </rPr>
      <t>Patricia García</t>
    </r>
    <r>
      <rPr>
        <sz val="8"/>
        <color rgb="FF000000"/>
        <rFont val="Calibri"/>
        <family val="2"/>
      </rPr>
      <t xml:space="preserve"> and </t>
    </r>
    <r>
      <rPr>
        <b/>
        <sz val="8"/>
        <color rgb="FF000000"/>
        <rFont val="Calibri"/>
        <family val="2"/>
      </rPr>
      <t>Juan C. Roa</t>
    </r>
    <r>
      <rPr>
        <sz val="8"/>
        <color rgb="FF000000"/>
        <rFont val="Calibri"/>
        <family val="2"/>
      </rPr>
      <t> </t>
    </r>
  </si>
  <si>
    <t>MDPI: International  Journal  Molecular Sciences </t>
  </si>
  <si>
    <t>https://doi.org/10.3390/ijms25126740 </t>
  </si>
  <si>
    <r>
      <t>14</t>
    </r>
    <r>
      <rPr>
        <sz val="8"/>
        <color rgb="FF000000"/>
        <rFont val="Calibri"/>
        <family val="2"/>
      </rPr>
      <t> </t>
    </r>
  </si>
  <si>
    <t>Challenges for gene therapy in teh financial sustainability of the health systems: A scoping review </t>
  </si>
  <si>
    <r>
      <t xml:space="preserve">Hugo Ossandón (HO), </t>
    </r>
    <r>
      <rPr>
        <b/>
        <sz val="8"/>
        <color rgb="FF000000"/>
        <rFont val="Calibri"/>
        <family val="2"/>
      </rPr>
      <t>Nicolas Armijo</t>
    </r>
    <r>
      <rPr>
        <sz val="8"/>
        <color rgb="FF000000"/>
        <rFont val="Calibri"/>
        <family val="2"/>
      </rPr>
      <t xml:space="preserve"> (NA), Constanza Vargas (CV), Gabriela Repetto (GR), </t>
    </r>
    <r>
      <rPr>
        <b/>
        <sz val="8"/>
        <color rgb="FF000000"/>
        <rFont val="Calibri"/>
        <family val="2"/>
      </rPr>
      <t>Manuel A. Espinoza</t>
    </r>
    <r>
      <rPr>
        <sz val="8"/>
        <color rgb="FF000000"/>
        <rFont val="Calibri"/>
        <family val="2"/>
      </rPr>
      <t xml:space="preserve"> (ME) </t>
    </r>
  </si>
  <si>
    <t>Orphanet Journal of Rare Diseases </t>
  </si>
  <si>
    <t>https://doi.org/10.1186/s13023-024-03249-z </t>
  </si>
  <si>
    <r>
      <t>15</t>
    </r>
    <r>
      <rPr>
        <sz val="8"/>
        <color rgb="FF000000"/>
        <rFont val="Calibri"/>
        <family val="2"/>
      </rPr>
      <t> </t>
    </r>
  </si>
  <si>
    <t>Harnessing Health Technology Assessment in Latin America and the Caribbean: Keeping the Region on Course </t>
  </si>
  <si>
    <r>
      <t xml:space="preserve">Ursula Giediona, </t>
    </r>
    <r>
      <rPr>
        <b/>
        <sz val="8"/>
        <color rgb="FF000000"/>
        <rFont val="Calibri"/>
        <family val="2"/>
      </rPr>
      <t>Manuel Antonio Espinoza</t>
    </r>
    <r>
      <rPr>
        <sz val="8"/>
        <color rgb="FF000000"/>
        <rFont val="Calibri"/>
        <family val="2"/>
      </rPr>
      <t>, Pamela Góngora-Salazar, Abha Mehndiratta, and Dan Ollendorffa </t>
    </r>
  </si>
  <si>
    <t>Health Systems and Reform </t>
  </si>
  <si>
    <t>https://doi.org/10.1080/23288604.2024.2314482 </t>
  </si>
  <si>
    <r>
      <t>16</t>
    </r>
    <r>
      <rPr>
        <sz val="8"/>
        <color rgb="FF000000"/>
        <rFont val="Calibri"/>
        <family val="2"/>
      </rPr>
      <t> </t>
    </r>
  </si>
  <si>
    <t>A Comprehensive Analysis of the Effect of A&gt;I(G) RNA-Editing Sites on Genotoxic Drug Response and Progression in Breast Cancer </t>
  </si>
  <si>
    <r>
      <t xml:space="preserve">Yanara A. Bernal, Alejandro Blanco, Eduardo A. Sagredo, Karen Oróstica, Ivan Alfaro, </t>
    </r>
    <r>
      <rPr>
        <b/>
        <sz val="8"/>
        <color rgb="FF000000"/>
        <rFont val="Calibri"/>
        <family val="2"/>
      </rPr>
      <t>Katherine Marcelain</t>
    </r>
    <r>
      <rPr>
        <sz val="8"/>
        <color rgb="FF000000"/>
        <rFont val="Calibri"/>
        <family val="2"/>
      </rPr>
      <t xml:space="preserve"> and </t>
    </r>
    <r>
      <rPr>
        <b/>
        <sz val="8"/>
        <color rgb="FF000000"/>
        <rFont val="Calibri"/>
        <family val="2"/>
      </rPr>
      <t>Ricardo Armisén</t>
    </r>
    <r>
      <rPr>
        <sz val="8"/>
        <color rgb="FF000000"/>
        <rFont val="Calibri"/>
        <family val="2"/>
      </rPr>
      <t> </t>
    </r>
  </si>
  <si>
    <t>MDPI:  Biomedicines </t>
  </si>
  <si>
    <t>https://doi.org/10.3390/biomedicines12040728 </t>
  </si>
  <si>
    <r>
      <t>17</t>
    </r>
    <r>
      <rPr>
        <sz val="8"/>
        <color rgb="FF000000"/>
        <rFont val="Calibri"/>
        <family val="2"/>
      </rPr>
      <t> </t>
    </r>
  </si>
  <si>
    <t>Exploring the impact of MiR-92a-3p on FOLFOX chemoresistance biomarker genes in colon cancer cell lines </t>
  </si>
  <si>
    <r>
      <t xml:space="preserve">Paula I. Escalante, Luis A. Quiñones and </t>
    </r>
    <r>
      <rPr>
        <b/>
        <sz val="8"/>
        <color rgb="FF000000"/>
        <rFont val="Calibri"/>
        <family val="2"/>
      </rPr>
      <t>Héctor R. Contreras</t>
    </r>
    <r>
      <rPr>
        <sz val="8"/>
        <color rgb="FF000000"/>
        <rFont val="Calibri"/>
        <family val="2"/>
      </rPr>
      <t> </t>
    </r>
  </si>
  <si>
    <t>Frontiers in Pharmacology </t>
  </si>
  <si>
    <t>https://doi.org/10.3389/fphar.2024.1376638 </t>
  </si>
  <si>
    <r>
      <t>18</t>
    </r>
    <r>
      <rPr>
        <sz val="8"/>
        <color rgb="FF000000"/>
        <rFont val="Calibri"/>
        <family val="2"/>
      </rPr>
      <t> </t>
    </r>
  </si>
  <si>
    <t>Assessing the Occurrence and Influence of Cancer Chemotherapy-Related Pharmacogenetic Alleles in the Chilean Population </t>
  </si>
  <si>
    <r>
      <t>Gareth I. Owen</t>
    </r>
    <r>
      <rPr>
        <sz val="8"/>
        <color rgb="FF000000"/>
        <rFont val="Calibri"/>
        <family val="2"/>
      </rPr>
      <t>, Miguel Cordova-Delgado, Bernabé I. Bustos, Leslie C. Cerpa, Pamela Gonzalez, Sebastián Morales-Pison, Benjamín Garcia-Bloj, Marcelo Garrido, Juan Francisco Miquel and Luis A. Quiñones </t>
    </r>
  </si>
  <si>
    <t>MDPI: Pharmaceutics </t>
  </si>
  <si>
    <t>https://doi.org/10.3390/pharmaceutics16040561 </t>
  </si>
  <si>
    <r>
      <t>19</t>
    </r>
    <r>
      <rPr>
        <sz val="8"/>
        <color rgb="FF000000"/>
        <rFont val="Calibri"/>
        <family val="2"/>
      </rPr>
      <t> </t>
    </r>
  </si>
  <si>
    <t>Clinical and Genomic Characterization of ERBB2-altered Gallbladder Cancer: exploring differences between an American and a Chilean cohort </t>
  </si>
  <si>
    <r>
      <t>Sebastián Mondaca, Henry Walch, Santiago Sepúlveda, Nikolaus Schultz, Gonzalo Muñoz, Amin Yaqubie,</t>
    </r>
    <r>
      <rPr>
        <b/>
        <sz val="8"/>
        <color rgb="FF000000"/>
        <rFont val="Calibri"/>
        <family val="2"/>
      </rPr>
      <t xml:space="preserve"> Patricia Macanas</t>
    </r>
    <r>
      <rPr>
        <sz val="8"/>
        <color rgb="FF000000"/>
        <rFont val="Calibri"/>
        <family val="2"/>
      </rPr>
      <t xml:space="preserve">, Claudia Pareja1, </t>
    </r>
    <r>
      <rPr>
        <b/>
        <sz val="8"/>
        <color rgb="FF000000"/>
        <rFont val="Calibri"/>
        <family val="2"/>
      </rPr>
      <t>Patricia Garcia</t>
    </r>
    <r>
      <rPr>
        <sz val="8"/>
        <color rgb="FF000000"/>
        <rFont val="Calibri"/>
        <family val="2"/>
      </rPr>
      <t xml:space="preserve">, Walid Chatila, Bruno Nervi, Bob Li James J. Harding, </t>
    </r>
    <r>
      <rPr>
        <b/>
        <sz val="8"/>
        <color rgb="FF000000"/>
        <rFont val="Calibri"/>
        <family val="2"/>
      </rPr>
      <t>Paola Viviani, Juan Carlos Roa</t>
    </r>
    <r>
      <rPr>
        <sz val="8"/>
        <color rgb="FF000000"/>
        <rFont val="Calibri"/>
        <family val="2"/>
      </rPr>
      <t>, Ghassan K. Abou-Alfa </t>
    </r>
  </si>
  <si>
    <t>JCO Global Oncology </t>
  </si>
  <si>
    <t>https://doi.org/10.1200/GO.24.00090 </t>
  </si>
  <si>
    <r>
      <t>20</t>
    </r>
    <r>
      <rPr>
        <sz val="8"/>
        <color rgb="FF000000"/>
        <rFont val="Calibri"/>
        <family val="2"/>
      </rPr>
      <t> </t>
    </r>
  </si>
  <si>
    <t>Gene content, phage cycle regulation model and prophage inactivation disclosed by prophage genomics in the Helicobacter pylori Genome Project </t>
  </si>
  <si>
    <r>
      <t xml:space="preserve">Filipa F. Vale, HpGP Research Network, Richard J. Robertsc, Ichizo Kobayashid, </t>
    </r>
    <r>
      <rPr>
        <b/>
        <sz val="8"/>
        <color rgb="FF000000"/>
        <rFont val="Calibri"/>
        <family val="2"/>
      </rPr>
      <t>M. Constanza Camargo</t>
    </r>
    <r>
      <rPr>
        <sz val="8"/>
        <color rgb="FF000000"/>
        <rFont val="Calibri"/>
        <family val="2"/>
      </rPr>
      <t>, and Charles S. Rabkinh </t>
    </r>
  </si>
  <si>
    <t>GUT MICROBES </t>
  </si>
  <si>
    <t>https://doi.org/10.1080/19490976.2024.2379440 </t>
  </si>
  <si>
    <r>
      <t>21</t>
    </r>
    <r>
      <rPr>
        <sz val="8"/>
        <color rgb="FF000000"/>
        <rFont val="Calibri"/>
        <family val="2"/>
      </rPr>
      <t> </t>
    </r>
  </si>
  <si>
    <t>Diagnóstico y etapificación de cáncer de mama en Chile:  estudio por encuesta no probabilística de frecuencia y tiempos </t>
  </si>
  <si>
    <r>
      <t>Carla Campaña, Marcela Oyarte, Báltica Cabieses, Alexandra Obach </t>
    </r>
    <r>
      <rPr>
        <sz val="8"/>
        <color rgb="FF000000"/>
        <rFont val="Calibri"/>
        <family val="2"/>
      </rPr>
      <t> </t>
    </r>
  </si>
  <si>
    <t>http://doi.org/10.5867/medwave.2024.09.2801  </t>
  </si>
  <si>
    <r>
      <t>22</t>
    </r>
    <r>
      <rPr>
        <sz val="8"/>
        <color rgb="FF000000"/>
        <rFont val="Calibri"/>
        <family val="2"/>
      </rPr>
      <t> </t>
    </r>
  </si>
  <si>
    <t>Implementation of Cancer Prevention Practices in Primary Care: Reesults of a Cohort Study in Chile 2018-2022 </t>
  </si>
  <si>
    <r>
      <t>Klaus Puschel</t>
    </r>
    <r>
      <rPr>
        <sz val="8"/>
        <color rgb="FF000000"/>
        <rFont val="Calibri"/>
        <family val="2"/>
      </rPr>
      <t>, Andrea Rioseco, Mauricio Soto, Gabriela Soto, Sarah Paz, Javiera Martinez, Eduardo Arenas, Marcela Faundez, Augusto Leon, Jon Emery, Beti Thompson </t>
    </r>
  </si>
  <si>
    <t>Public Health </t>
  </si>
  <si>
    <t>https://doi.org/10.1016/j.puhe.2024.08.006 </t>
  </si>
  <si>
    <r>
      <t>23</t>
    </r>
    <r>
      <rPr>
        <sz val="8"/>
        <color rgb="FF000000"/>
        <rFont val="Calibri"/>
        <family val="2"/>
      </rPr>
      <t> </t>
    </r>
  </si>
  <si>
    <t>Cyclooxygenase-2 Blockade Is Crucial to Restore Natural Killer Cell Activity before Anti-CTLA-4 Therapy against High-Grade Serous Ovarian Cancer </t>
  </si>
  <si>
    <r>
      <t xml:space="preserve">Fernán Gómez-Valenzuela, IgnacioWichmann, Felipe Suárez, Sumie Kato, Enrique Ossandón, Marcela Hermoso, Elmer A. Fernández and </t>
    </r>
    <r>
      <rPr>
        <b/>
        <sz val="8"/>
        <color rgb="FF000000"/>
        <rFont val="Calibri"/>
        <family val="2"/>
      </rPr>
      <t>Mauricio A. Cuello</t>
    </r>
    <r>
      <rPr>
        <sz val="8"/>
        <color rgb="FF000000"/>
        <rFont val="Calibri"/>
        <family val="2"/>
      </rPr>
      <t> </t>
    </r>
  </si>
  <si>
    <t>MDPI:  CANCERS </t>
  </si>
  <si>
    <t>https://doi.org/ </t>
  </si>
  <si>
    <r>
      <t>24</t>
    </r>
    <r>
      <rPr>
        <sz val="8"/>
        <color rgb="FF000000"/>
        <rFont val="Calibri"/>
        <family val="2"/>
      </rPr>
      <t> </t>
    </r>
  </si>
  <si>
    <t>Statin use is not associated with inflammation among Chilean women of Mapuche and non-Mapuche ancestry with gallstones </t>
  </si>
  <si>
    <r>
      <t xml:space="preserve">Sarah S Jackson, Marina Lex, Vanessa Van De Wyngard, Paz Cook, Allan Hildesheim, Ligia A Pinto, Sharon H Jackson, Kelvin Choi, Tsion Zewdu Minas, Héctor Fabio Losada Morales, </t>
    </r>
    <r>
      <rPr>
        <b/>
        <sz val="8"/>
        <color rgb="FF000000"/>
        <rFont val="Calibri"/>
        <family val="2"/>
      </rPr>
      <t>Juan Carlos Araya</t>
    </r>
    <r>
      <rPr>
        <sz val="8"/>
        <color rgb="FF000000"/>
        <rFont val="Calibri"/>
        <family val="2"/>
      </rPr>
      <t>, Catterina Ferreccio, Jill Koshiol &amp; Ruth M Pfeiffer </t>
    </r>
  </si>
  <si>
    <t>Future Sci. OA </t>
  </si>
  <si>
    <t>https://doi.org/10.2144/fsoa-2023-0032 </t>
  </si>
  <si>
    <r>
      <t>25</t>
    </r>
    <r>
      <rPr>
        <sz val="8"/>
        <color rgb="FF000000"/>
        <rFont val="Calibri"/>
        <family val="2"/>
      </rPr>
      <t> </t>
    </r>
  </si>
  <si>
    <t>Cholecystectomy and digestive cancer in Chile: Complementary results from interrupted time series and aggregated data analyses </t>
  </si>
  <si>
    <r>
      <t xml:space="preserve">Constanza Gonzalez, Alfonso García-Pérez, </t>
    </r>
    <r>
      <rPr>
        <b/>
        <sz val="8"/>
        <color rgb="FF000000"/>
        <rFont val="Calibri"/>
        <family val="2"/>
      </rPr>
      <t xml:space="preserve">Bruno Nervi, </t>
    </r>
    <r>
      <rPr>
        <sz val="8"/>
        <color rgb="FF000000"/>
        <rFont val="Calibri"/>
        <family val="2"/>
      </rPr>
      <t xml:space="preserve">César Munoz, Erik Morales, Hector Losada, Gina Merino-Pereira, Francisco Rothhamme, </t>
    </r>
    <r>
      <rPr>
        <b/>
        <sz val="8"/>
        <color rgb="FF000000"/>
        <rFont val="Calibri"/>
        <family val="2"/>
      </rPr>
      <t>Justo Lorenzo Bermejo</t>
    </r>
    <r>
      <rPr>
        <sz val="8"/>
        <color rgb="FF000000"/>
        <rFont val="Calibri"/>
        <family val="2"/>
      </rPr>
      <t> </t>
    </r>
  </si>
  <si>
    <t>Int. J. Cancer </t>
  </si>
  <si>
    <t>https://doi.org/10.1002/ijc.35138 </t>
  </si>
  <si>
    <r>
      <t>26</t>
    </r>
    <r>
      <rPr>
        <sz val="8"/>
        <color rgb="FF000000"/>
        <rFont val="Calibri"/>
        <family val="2"/>
      </rPr>
      <t> </t>
    </r>
  </si>
  <si>
    <t>National health examination surveys; a source of critical data </t>
  </si>
  <si>
    <r>
      <t>Paula Margozzin</t>
    </r>
    <r>
      <rPr>
        <sz val="8"/>
        <color rgb="FF000000"/>
        <rFont val="Calibri"/>
        <family val="2"/>
      </rPr>
      <t>i, Hanna Tolonen, Antonio Bernabe-Ortiz, Sarah Cuschieri, Chiara Donfrancesco, Luigi Palmieri, Luz Maria Sanchez-Romero, Jennifer S Mindellg &amp; Oyinlola Oyebodeh </t>
    </r>
  </si>
  <si>
    <t>Bull World Health Organ </t>
  </si>
  <si>
    <t>http://dx.doi.org/10.2471/BLT.24.291783 </t>
  </si>
  <si>
    <r>
      <t>27</t>
    </r>
    <r>
      <rPr>
        <sz val="8"/>
        <color rgb="FF000000"/>
        <rFont val="Calibri"/>
        <family val="2"/>
      </rPr>
      <t> </t>
    </r>
  </si>
  <si>
    <t>Comorbilidad entre obesidad y tabaquismo, y su asociación con factores de riesgo cardiometabólicos: Resultados de la Encuesta Nacional de Salud 2016-2017 </t>
  </si>
  <si>
    <r>
      <t xml:space="preserve">Rodrigo Santis, Francisco Del Río, </t>
    </r>
    <r>
      <rPr>
        <b/>
        <sz val="8"/>
        <color rgb="FF000000"/>
        <rFont val="Calibri"/>
        <family val="2"/>
      </rPr>
      <t>Claudia Bambs, Paula Margozzini</t>
    </r>
    <r>
      <rPr>
        <sz val="8"/>
        <color rgb="FF000000"/>
        <rFont val="Calibri"/>
        <family val="2"/>
      </rPr>
      <t>, Marcela Babul, Florencia Santis, Sofía Herrera </t>
    </r>
  </si>
  <si>
    <t>Revista Médica de Chile </t>
  </si>
  <si>
    <t>http://dx.doi.org/10.4067/s0034-98872024000100007  </t>
  </si>
  <si>
    <r>
      <t>28</t>
    </r>
    <r>
      <rPr>
        <sz val="8"/>
        <color rgb="FF000000"/>
        <rFont val="Calibri"/>
        <family val="2"/>
      </rPr>
      <t> </t>
    </r>
  </si>
  <si>
    <t>Community preparedness for natural hazards in two Chilean coastal cities </t>
  </si>
  <si>
    <r>
      <t xml:space="preserve">Castañeda, J. V., </t>
    </r>
    <r>
      <rPr>
        <b/>
        <sz val="8"/>
        <color rgb="FF000000"/>
        <rFont val="Calibri"/>
        <family val="2"/>
      </rPr>
      <t>Repetto, P. B.</t>
    </r>
    <r>
      <rPr>
        <sz val="8"/>
        <color rgb="FF000000"/>
        <rFont val="Calibri"/>
        <family val="2"/>
      </rPr>
      <t>, Bronfman, N. C., &amp; Cisternas, P. C.  </t>
    </r>
  </si>
  <si>
    <t>Journal of Risk Research </t>
  </si>
  <si>
    <t>https://doi.org/10.1080/13669877.2024.2387355 </t>
  </si>
  <si>
    <r>
      <t>29</t>
    </r>
    <r>
      <rPr>
        <sz val="8"/>
        <color rgb="FF000000"/>
        <rFont val="Calibri"/>
        <family val="2"/>
      </rPr>
      <t> </t>
    </r>
  </si>
  <si>
    <t>Improving efficiency in healtcare: lessons from succesful health policies in Chile </t>
  </si>
  <si>
    <r>
      <t>Espinoza, MA</t>
    </r>
    <r>
      <rPr>
        <sz val="8"/>
        <color rgb="FF000000"/>
        <rFont val="Calibri"/>
        <family val="2"/>
      </rPr>
      <t xml:space="preserve">., Zamorano, P., Zuñiga-San Martin, C., </t>
    </r>
    <r>
      <rPr>
        <b/>
        <sz val="8"/>
        <color rgb="FF000000"/>
        <rFont val="Calibri"/>
        <family val="2"/>
      </rPr>
      <t>Taramasco, C., Martinez, F</t>
    </r>
    <r>
      <rPr>
        <sz val="8"/>
        <color rgb="FF000000"/>
        <rFont val="Calibri"/>
        <family val="2"/>
      </rPr>
      <t>., Becerra, S., Letelier, MJ., Armijo, N. </t>
    </r>
  </si>
  <si>
    <t>Archives of Medical Research </t>
  </si>
  <si>
    <t>https://doi.org/10.1016/j.arcmed.2024.103105 </t>
  </si>
  <si>
    <r>
      <t>30</t>
    </r>
    <r>
      <rPr>
        <sz val="8"/>
        <color rgb="FF000000"/>
        <rFont val="Calibri"/>
        <family val="2"/>
      </rPr>
      <t> </t>
    </r>
  </si>
  <si>
    <t>Global Assessment of Palliative Care Need:Serious Health-Related Suffering Measurement Methodology </t>
  </si>
  <si>
    <r>
      <t>Xiaoxiao J. Kwete, MBBS,MSc, Afsan Bhadelia,PhD y, Héctor Arreola-Ornelas, MSc, Oscar Mendez,  William E. Rosa, PhD, MBE, APRN, Stephen Connor, PhD, Julia Downing, PhD,MMedSci,RGN, Dean Jamison, PhD, David Watkins, MD, MPH, Renzo Calderon, PhD, Jim Cleary, MD, Joseph R. Friedman, PhD, MPH, Liliana De Lima, MSc, Christian Ntizimira, MD, MSc, Tania Pastrana, PD, Dr.med.Dipl.,</t>
    </r>
    <r>
      <rPr>
        <b/>
        <sz val="8"/>
        <color rgb="FF000000"/>
        <rFont val="Calibri"/>
        <family val="2"/>
      </rPr>
      <t>Pedro E. Pérez-Cruz</t>
    </r>
    <r>
      <rPr>
        <sz val="8"/>
        <color rgb="FF000000"/>
        <rFont val="Calibri"/>
        <family val="2"/>
      </rPr>
      <t>, MD,MPH, Dingle Spence, BSc, ,DMRT,DipPall.Med,FRCR, M.R.Rajagopal, MD, Valentina Vargas Enciso, MSc, Eric L. Krakauer, PhD, Lukas Radbruch, MD,and Felicia Marie Knaul, PhD </t>
    </r>
  </si>
  <si>
    <t>Journal of Pain and Symptom Management </t>
  </si>
  <si>
    <t>https://doi.org/10.1016/j.jpainsymman.2024.03.027 </t>
  </si>
  <si>
    <r>
      <t>31</t>
    </r>
    <r>
      <rPr>
        <sz val="8"/>
        <color rgb="FF000000"/>
        <rFont val="Calibri"/>
        <family val="2"/>
      </rPr>
      <t> </t>
    </r>
  </si>
  <si>
    <t>Beyond tobacco: genomic disparities in lung cancer between smokers and never-smokers. </t>
  </si>
  <si>
    <r>
      <t xml:space="preserve">Javiera Garrido, Yanara Bernal, Evelin González, Alejandro Blanco, Gonzalo Sepúlveda‑Hermosilla, Matías Freire, Karen Oróstica, Solange Rivas, </t>
    </r>
    <r>
      <rPr>
        <b/>
        <sz val="8"/>
        <color rgb="FF000000"/>
        <rFont val="Calibri"/>
        <family val="2"/>
      </rPr>
      <t>Katherine Marcelain, Gareth Owen</t>
    </r>
    <r>
      <rPr>
        <sz val="8"/>
        <color rgb="FF000000"/>
        <rFont val="Calibri"/>
        <family val="2"/>
      </rPr>
      <t>, Carolina Ibañez, Alejandro Corvalan, Marcelo Garrido, Rodrigo Assar, Rodrigo Lizana, Javier Cáceres‑Molina, Diego Ampuero, Liliana Ramos, Paola Pérez, Osvaldo Aren, Sara Chernilo, Cristina Fernández, María Loreto Spencer, Jacqueline Flores Aguila, Giuliano Bernal Dossetto, Mónica Ahumada Olea, Germán Rasse, Carolina Sánchez, Maria Galli de Amorim, Thais F. Bartelli, Diana Noronha Nunes, Emmanuel Dias‑Neto, Helano C. Freitas and Ricardo Armisén  </t>
    </r>
  </si>
  <si>
    <t>BMC Cancer </t>
  </si>
  <si>
    <t>https://doi.org/10.1186/s12885-024-12737-1 </t>
  </si>
  <si>
    <t>Xiaoxiao J. Kwete, MBBS,MSc, Afsan Bhadelia,PhD y, Héctor Arreola-Ornelas, MSc, Oscar Mendez,  William E. Rosa, PhD, MBE, APRN, Stephen Connor, PhD, Julia Downing, PhD,MMedSci,RGN, Dean Jamison, PhD, David Watkins, MD, MPH, Renzo Calderon, PhD, Jim Cleary, MD, Joseph R. Friedman, PhD, MPH, Liliana De Lima, MSc, Christian Ntizimira, MD, MSc, Tania Pastrana, PD, Dr.med.Dipl.,Pedro E. Pérez-Cruz, MD,MPH, Dingle Spence, BSc, ,DMRT,DipPall.Med,FRCR, M.R.Rajagopal, MD, Valentina Vargas Enciso, MSc, Eric L. Krakauer, PhD, Lukas Radbruch, MD,and Felicia Marie Knaul, PhD </t>
  </si>
  <si>
    <t>Overexpression of REST Represses the Epithelial–Mesenchymal Transition Process and Decreases the Aggressiveness of Prostate Cancer Cells </t>
  </si>
  <si>
    <r>
      <t>Arnoldo Riquelme</t>
    </r>
    <r>
      <rPr>
        <sz val="11"/>
        <color theme="1"/>
        <rFont val="Calibri"/>
        <family val="2"/>
        <scheme val="minor"/>
      </rPr>
      <t>1,2, Felipe Silva1, Diego Reyes1, and Gonzalo Latorre1</t>
    </r>
  </si>
  <si>
    <t>No indexada</t>
  </si>
  <si>
    <t>https://doi.org/10.1007/978-3-031-75144-8_5</t>
  </si>
  <si>
    <t>Global Assessment of Palliative Care Need: Serious Health-Related Suffering Measurement Methodology</t>
  </si>
  <si>
    <t>PUBLICACIONES ISI</t>
  </si>
  <si>
    <t>PUBLICACIONES NON ISI</t>
  </si>
  <si>
    <t>Reducción de la infección por Helicobacter pylori en pacientes derivados a endoscopia digestiva alta en Santiago de Chile entre 2010-2020 </t>
  </si>
  <si>
    <r>
      <t xml:space="preserve">Felipe Silva, Gonzalo Latorre, Patricio Medel, Miguel Bustamante, Isabella Montero,Camila Robles, Eitan Dukes, Francisca Martinez, María Victoria Binder, Javier Uribe ,Diego Reyes, Marcela Bittner, Marisol Sirhan, </t>
    </r>
    <r>
      <rPr>
        <b/>
        <sz val="8"/>
        <color rgb="FF000000"/>
        <rFont val="Calibri"/>
        <family val="2"/>
      </rPr>
      <t>Manuel Espinoza</t>
    </r>
    <r>
      <rPr>
        <sz val="8"/>
        <color rgb="FF000000"/>
        <rFont val="Calibri"/>
        <family val="2"/>
      </rPr>
      <t xml:space="preserve">, Eduardo Fuentes-López,Roberto Candia, Carlos Agüero, José Ignacio Vargas, Alberto Espino, </t>
    </r>
    <r>
      <rPr>
        <b/>
        <sz val="8"/>
        <color rgb="FF000000"/>
        <rFont val="Calibri"/>
        <family val="2"/>
      </rPr>
      <t>Arnoldo Riquelme</t>
    </r>
    <r>
      <rPr>
        <sz val="8"/>
        <color rgb="FF000000"/>
        <rFont val="Calibri"/>
        <family val="2"/>
      </rPr>
      <t> </t>
    </r>
  </si>
  <si>
    <t>Rev Gastroenterol Perú  </t>
  </si>
  <si>
    <t>https://doi.org/10.47892/rgp.2024.441.1624 </t>
  </si>
  <si>
    <r>
      <t>Arnoldo Riquelme</t>
    </r>
    <r>
      <rPr>
        <sz val="8"/>
        <color rgb="FF000000"/>
        <rFont val="Calibri"/>
        <family val="2"/>
      </rPr>
      <t>, Felipe Silva, Diego Reyes, and Gonzalo Latorre </t>
    </r>
  </si>
  <si>
    <t>Korean J Helicobacter Up Gastrointest </t>
  </si>
  <si>
    <t>https://doi.org/10.7704/kjhugr.2024.0017 </t>
  </si>
  <si>
    <t>Deep Learning Techniques for Oral Cancer Detection: Enhancing Clinical Diagnosis by ResNet and DenseNet Performance </t>
  </si>
  <si>
    <r>
      <t xml:space="preserve">Pablo Ormeño-Arriagada, Eduardo Navarro, </t>
    </r>
    <r>
      <rPr>
        <b/>
        <sz val="8"/>
        <color rgb="FF000000"/>
        <rFont val="Calibri"/>
        <family val="2"/>
      </rPr>
      <t>Carla Taramasco</t>
    </r>
    <r>
      <rPr>
        <sz val="8"/>
        <color rgb="FF000000"/>
        <rFont val="Calibri"/>
        <family val="2"/>
      </rPr>
      <t>, Gustavo Gatica, and Juan Pablo Vásconez </t>
    </r>
  </si>
  <si>
    <t>Applied informatics. Ed. Springer Nature </t>
  </si>
  <si>
    <t>https://doi.org/10.1007/978-3-031-75144-8_5 </t>
  </si>
  <si>
    <t>Chronic Atrophic Gastritis and Intestinal Metaplasia: A Latin American Perspective </t>
  </si>
  <si>
    <t xml:space="preserve">31 publicaciones </t>
  </si>
  <si>
    <t>Breast cancer trends in Chile: Incidence and mortality rates (2007-2018)</t>
  </si>
  <si>
    <r>
      <t xml:space="preserve">Benjamín Madariaga, </t>
    </r>
    <r>
      <rPr>
        <b/>
        <sz val="11"/>
        <color theme="1"/>
        <rFont val="Calibri"/>
        <family val="2"/>
        <scheme val="minor"/>
      </rPr>
      <t>Susana Mondschein</t>
    </r>
    <r>
      <rPr>
        <sz val="11"/>
        <color theme="1"/>
        <rFont val="Calibri"/>
        <family val="2"/>
        <scheme val="minor"/>
      </rPr>
      <t>, Soledad Torres</t>
    </r>
  </si>
  <si>
    <t>PLOS GLOBAL PUBLIC HEALTH</t>
  </si>
  <si>
    <t>1 Department of Mathematical Engineering, University of Chile, Santiago, Chile, 2 Department of Industrial Engineering, University of Chile, Santiago, Chile, 3 Instituto Sistemas Complejos de Ingenierı´a (ISCI), Santiago, Chile, 4 Center for Cancer Prevention and Control (CECAN), Santiago, Chile, 5 Centro Integral de la Mama, Clı´nica Las Condes, Santiago, Chile</t>
  </si>
  <si>
    <t>https://doi.org/10.1371/journal.pgph.0001322</t>
  </si>
  <si>
    <r>
      <t xml:space="preserve">Benjamín Madariaga, </t>
    </r>
    <r>
      <rPr>
        <b/>
        <sz val="8"/>
        <color theme="1"/>
        <rFont val="Calibri"/>
        <family val="2"/>
        <scheme val="minor"/>
      </rPr>
      <t>Susana Mondschein</t>
    </r>
    <r>
      <rPr>
        <sz val="8"/>
        <color theme="1"/>
        <rFont val="Calibri"/>
        <family val="2"/>
        <scheme val="minor"/>
      </rPr>
      <t>, Soledad Torres</t>
    </r>
  </si>
  <si>
    <t xml:space="preserve">https://doi.org/10.1371/journal.pgph.0001322 </t>
  </si>
  <si>
    <t>REGISTRO DE PUBLICACIONES NO ISI</t>
  </si>
  <si>
    <r>
      <t xml:space="preserve">Sebastián Mondaca, Henry Walch, Santiago Sepúlveda, Nikolaus Schultz, Gonzalo Muñoz, Amin Yaqubie, </t>
    </r>
    <r>
      <rPr>
        <b/>
        <sz val="11"/>
        <color theme="1"/>
        <rFont val="Calibri"/>
        <family val="2"/>
        <scheme val="minor"/>
      </rPr>
      <t>Patricia Macanas</t>
    </r>
    <r>
      <rPr>
        <sz val="11"/>
        <color theme="1"/>
        <rFont val="Calibri"/>
        <family val="2"/>
        <scheme val="minor"/>
      </rPr>
      <t xml:space="preserve">, Claudia Pareja, </t>
    </r>
    <r>
      <rPr>
        <b/>
        <sz val="11"/>
        <color theme="1"/>
        <rFont val="Calibri"/>
        <family val="2"/>
        <scheme val="minor"/>
      </rPr>
      <t>Patricia Garcia</t>
    </r>
    <r>
      <rPr>
        <sz val="11"/>
        <color theme="1"/>
        <rFont val="Calibri"/>
        <family val="2"/>
        <scheme val="minor"/>
      </rPr>
      <t xml:space="preserve">, Walid Chatila, </t>
    </r>
    <r>
      <rPr>
        <b/>
        <sz val="11"/>
        <color theme="1"/>
        <rFont val="Calibri"/>
        <family val="2"/>
        <scheme val="minor"/>
      </rPr>
      <t>Bruno Nervi</t>
    </r>
    <r>
      <rPr>
        <sz val="11"/>
        <color theme="1"/>
        <rFont val="Calibri"/>
        <family val="2"/>
        <scheme val="minor"/>
      </rPr>
      <t xml:space="preserve">, Bob Li, James J. Harding, </t>
    </r>
    <r>
      <rPr>
        <b/>
        <sz val="11"/>
        <color theme="1"/>
        <rFont val="Calibri"/>
        <family val="2"/>
        <scheme val="minor"/>
      </rPr>
      <t>Paola Viviani</t>
    </r>
    <r>
      <rPr>
        <sz val="11"/>
        <color theme="1"/>
        <rFont val="Calibri"/>
        <family val="2"/>
        <scheme val="minor"/>
      </rPr>
      <t xml:space="preserve">, </t>
    </r>
    <r>
      <rPr>
        <b/>
        <sz val="11"/>
        <color theme="1"/>
        <rFont val="Calibri"/>
        <family val="2"/>
        <scheme val="minor"/>
      </rPr>
      <t>Juan Carlos Roa</t>
    </r>
    <r>
      <rPr>
        <sz val="11"/>
        <color theme="1"/>
        <rFont val="Calibri"/>
        <family val="2"/>
        <scheme val="minor"/>
      </rPr>
      <t>, Ghassan K. Abou-Alfa</t>
    </r>
  </si>
  <si>
    <t>Filipa F. Vale, HpGP Research Network, Richard J. Robertsc, Ichizo Kobayashid, M. Constanza Camargo,
and Charles S. Rabkinh</t>
  </si>
  <si>
    <r>
      <t xml:space="preserve">Sarah S Jackson, Marina Lex, Vanessa Van De Wyngard, Paz Cook, Allan Hildesheim, Ligia A Pinto, Sharon H Jackson, Kelvin Choi, Tsion Zewdu Minas, Héctor Fabio Losada Morales, </t>
    </r>
    <r>
      <rPr>
        <b/>
        <sz val="11"/>
        <color theme="1"/>
        <rFont val="Calibri"/>
        <family val="2"/>
        <scheme val="minor"/>
      </rPr>
      <t>Juan Carlos Araya</t>
    </r>
    <r>
      <rPr>
        <sz val="11"/>
        <color theme="1"/>
        <rFont val="Calibri"/>
        <family val="2"/>
        <scheme val="minor"/>
      </rPr>
      <t>, Catterina Ferreccio, Jill Koshiol &amp; Ruth M Pfeiffer</t>
    </r>
  </si>
  <si>
    <r>
      <t xml:space="preserve">Constanza Gonzalez, Alfonso García-Pérez, </t>
    </r>
    <r>
      <rPr>
        <b/>
        <sz val="11"/>
        <color theme="1"/>
        <rFont val="Calibri"/>
        <family val="2"/>
        <scheme val="minor"/>
      </rPr>
      <t xml:space="preserve">Bruno Nervi, </t>
    </r>
    <r>
      <rPr>
        <sz val="11"/>
        <color theme="1"/>
        <rFont val="Calibri"/>
        <family val="2"/>
        <scheme val="minor"/>
      </rPr>
      <t xml:space="preserve">César Munoz, Erik Morales,  Hector Losada, Gina Merino-Pereira, Francisco Rothhammer, </t>
    </r>
    <r>
      <rPr>
        <b/>
        <sz val="11"/>
        <color theme="1"/>
        <rFont val="Calibri"/>
        <family val="2"/>
        <scheme val="minor"/>
      </rPr>
      <t>Justo Lorenzo Bermejo</t>
    </r>
  </si>
  <si>
    <t>Con otros WP</t>
  </si>
  <si>
    <r>
      <t xml:space="preserve">Carla Campañaa, Marcela Oyarte, </t>
    </r>
    <r>
      <rPr>
        <b/>
        <sz val="11"/>
        <color theme="1"/>
        <rFont val="Calibri"/>
        <family val="2"/>
        <scheme val="minor"/>
      </rPr>
      <t>Báltica Cabieses</t>
    </r>
    <r>
      <rPr>
        <sz val="11"/>
        <color theme="1"/>
        <rFont val="Calibri"/>
        <family val="2"/>
        <scheme val="minor"/>
      </rPr>
      <t xml:space="preserve">,Alexandra Obach </t>
    </r>
  </si>
  <si>
    <r>
      <t xml:space="preserve">Javiera Garrido, Yanara Bernal, Evelin González, Alejandro Blanco, Gonzalo Sepúlveda‑Hermosilla, Matías Freire, Karen Oróstica, Solange Rivas, </t>
    </r>
    <r>
      <rPr>
        <b/>
        <sz val="11"/>
        <color theme="1"/>
        <rFont val="Calibri"/>
        <family val="2"/>
        <scheme val="minor"/>
      </rPr>
      <t>Katherine Marcelain</t>
    </r>
    <r>
      <rPr>
        <sz val="11"/>
        <color theme="1"/>
        <rFont val="Calibri"/>
        <family val="2"/>
        <scheme val="minor"/>
      </rPr>
      <t xml:space="preserve">, </t>
    </r>
    <r>
      <rPr>
        <b/>
        <sz val="11"/>
        <color theme="1"/>
        <rFont val="Calibri"/>
        <family val="2"/>
        <scheme val="minor"/>
      </rPr>
      <t>Gareth Owen</t>
    </r>
    <r>
      <rPr>
        <sz val="11"/>
        <color theme="1"/>
        <rFont val="Calibri"/>
        <family val="2"/>
        <scheme val="minor"/>
      </rPr>
      <t>, Carolina Ibañez,Alejandro Corvalan, Marcelo Garrido, Rodrigo Assar, Rodrigo Lizana, Javier Cáceres‑Molina,Diego Ampuero, Liliana Ramos, Paola Pérez, Osvaldo Aren, Sara Chernilo, Cristina Fernández,María Loreto Spencer, Jacqueline Flores Aguila, Giuliano Bernal Dossetto, Mónica Ahumada Olea, Germán Rasse, Carolina Sánchez, Maria Galli de Amorim, Thais F. Bartelli, Diana Noronha Nunes, Emmanuel Dias‑Neto, Helano C. Freitas and Ricardo Armisén</t>
    </r>
  </si>
  <si>
    <r>
      <t xml:space="preserve">Fernán Gómez-Valenzuela, Ignacio Wichmann, Felipe Suárez, Sumie Kato, Enrique Ossandón, Marcela Hermoso, Elmer A. Fernández and </t>
    </r>
    <r>
      <rPr>
        <b/>
        <sz val="11"/>
        <color theme="1"/>
        <rFont val="Calibri"/>
        <family val="2"/>
        <scheme val="minor"/>
      </rPr>
      <t>Mauricio A. Cuello</t>
    </r>
  </si>
  <si>
    <t>Cyclooxygenase-2 Blockade Is Crucial to Restore Natural Killer Cell Activity before Anti-CTLA-4 Therapy against High-Grade Serous Ovarian Cancer</t>
  </si>
  <si>
    <r>
      <t xml:space="preserve">Patricio Medel-Jara, MPH, PhD; Diego Reyes Placencia, MD; Eduardo Fuentes-López, PhD; Oscar Corsi MD, MPH; Gonzalo Latorre, MD; Rosario Antón, MD; Elena Jiménez, PhD; Ana Miralles-Marco,PhD; Carmelo Caballero, MD, PhD; Hugo Boggino, MD; Daniel Cantero, MD; Rita Barros, BSc, PhD; João Santos- Antunes, MD, PhD; Marc Díez, MD; Luis A. Quiñones, Ph ; Erick Riquelme, PhD; Antonio Rollán, MD; Leslie C. Cerpa, PhD; Ivania Valdés PhD; Olga P. Nyssen, BSc, PhD; Leticia Moreira, MD, PhD; Javier P. Gisbert MD, PhD; M. Constanza Camargo, PhD; Nayeli Ortiz-Olvera; Alberto M. Leon-Takahashi, MD, MHA; Erika Ruiz-Garcia, Edith A. Fernández-Figueroa; Marcelo Garrido, MD; </t>
    </r>
    <r>
      <rPr>
        <b/>
        <sz val="11"/>
        <color theme="1"/>
        <rFont val="Calibri"/>
        <family val="2"/>
        <scheme val="minor"/>
      </rPr>
      <t>Gareth I. Owen</t>
    </r>
    <r>
      <rPr>
        <sz val="11"/>
        <color theme="1"/>
        <rFont val="Calibri"/>
        <family val="2"/>
        <scheme val="minor"/>
      </rPr>
      <t xml:space="preserve">, PhD, Andrés Cervantes, MD, PhD; Tania Fleitas, MD, PhD; </t>
    </r>
    <r>
      <rPr>
        <b/>
        <sz val="11"/>
        <color theme="1"/>
        <rFont val="Calibri"/>
        <family val="2"/>
        <scheme val="minor"/>
      </rPr>
      <t>Arnoldo Riquelme,</t>
    </r>
    <r>
      <rPr>
        <sz val="11"/>
        <color theme="1"/>
        <rFont val="Calibri"/>
        <family val="2"/>
        <scheme val="minor"/>
      </rPr>
      <t xml:space="preserve"> MD</t>
    </r>
  </si>
  <si>
    <t>INFORMADO A ANID - INFORME DE AVANCE NR. 1</t>
  </si>
  <si>
    <t>INFORMADO A ANID - INFORME DE AVANCE NR. 2</t>
  </si>
  <si>
    <t>INFORMADO A ANID - INFORME DE AVANCE NR. 3</t>
  </si>
  <si>
    <t>Understanding microRNA-mediated chemoresistance in colorectal cancer treatment</t>
  </si>
  <si>
    <t>USD 2557,46</t>
  </si>
  <si>
    <t>Exposure to pesticides in Chile and its relationship with carcinogenic potential: a review</t>
  </si>
  <si>
    <t>USD 3495/2</t>
  </si>
  <si>
    <t>Año Publicacion</t>
  </si>
  <si>
    <t>OAD0000507291</t>
  </si>
  <si>
    <t xml:space="preserve"> 15-2024</t>
  </si>
  <si>
    <t xml:space="preserve"> 1-2025</t>
  </si>
  <si>
    <t xml:space="preserve"> 2-2025</t>
  </si>
  <si>
    <t>USD 2460</t>
  </si>
  <si>
    <t>https://doi.org/10.1016/j.curtheres.2024.100765</t>
  </si>
  <si>
    <t>Vol.102</t>
  </si>
  <si>
    <t>A snapshot of cancer in Chile II: an update on research, strategies and analytical frameworks for equity, innovation and national development</t>
  </si>
  <si>
    <t>Biological Research</t>
  </si>
  <si>
    <t xml:space="preserve"> 16-2024</t>
  </si>
  <si>
    <t>USD 2307</t>
  </si>
  <si>
    <t>https://doi.org/10.1186/s40659-024-00574-2</t>
  </si>
  <si>
    <t>Perceived barriers to reaching equity in effective access to diagnosis and treatment for women with breast cancer in Chile</t>
  </si>
  <si>
    <t>USD 1765</t>
  </si>
  <si>
    <t>Campaña, C, Cabieses, B, Obach, A, Vezzani, F</t>
  </si>
  <si>
    <r>
      <t xml:space="preserve">Carolina Martínez‑Ciarpaglini1 · Rita Barros2,3,4,5 · Carmelo Caballero6 · Hugo Boggino6 · Lorena Alarcón‑Molero1,7 · Bárbara Peleteiro8,9,10,11 · Erika Ruiz‑García12,13 · Edith Fernandez‑Figueroa14 · Roberto Herrera‑Goepfert15 · Consuelo Díaz‑Romero16 · Rui Ferreira2,17 · Tessa S. Groen‑van Schooten18,19,20 · Cinthia Gauna21 · Rita Pereira21 · Daniel Cantero22 · Horacio Lezcano23 · Federico Esteso24 · Juan O´Connor24 · </t>
    </r>
    <r>
      <rPr>
        <b/>
        <sz val="8"/>
        <color theme="1"/>
        <rFont val="Calibri"/>
        <family val="2"/>
        <scheme val="minor"/>
      </rPr>
      <t>Arnoldo Riquelme</t>
    </r>
    <r>
      <rPr>
        <sz val="8"/>
        <color theme="1"/>
        <rFont val="Calibri"/>
        <family val="2"/>
        <scheme val="minor"/>
      </rPr>
      <t xml:space="preserve">25 · </t>
    </r>
    <r>
      <rPr>
        <b/>
        <sz val="8"/>
        <color theme="1"/>
        <rFont val="Calibri"/>
        <family val="2"/>
        <scheme val="minor"/>
      </rPr>
      <t>Gareth I. Owen</t>
    </r>
    <r>
      <rPr>
        <sz val="8"/>
        <color theme="1"/>
        <rFont val="Calibri"/>
        <family val="2"/>
        <scheme val="minor"/>
      </rPr>
      <t xml:space="preserve">26 · Marcelo Garrido27 · </t>
    </r>
    <r>
      <rPr>
        <b/>
        <sz val="8"/>
        <color theme="1"/>
        <rFont val="Calibri"/>
        <family val="2"/>
        <scheme val="minor"/>
      </rPr>
      <t>Juan Carlos Roa</t>
    </r>
    <r>
      <rPr>
        <sz val="8"/>
        <color theme="1"/>
        <rFont val="Calibri"/>
        <family val="2"/>
        <scheme val="minor"/>
      </rPr>
      <t>28 · Fiorella Ruiz‑Pace29 · Ana Vivancos30 · Marc Diez‑García31 · Maria Alsina31,32 · Judit Matito30 · Agatha Martin30 · Marina Gómez30 · Ester Castillo30 · Maria Vila30 · João Santos‑Antunes33 · Andreia Costa34 · Florian Lordick35 · Judith Farrés36 · Brenda Palomar‑De Lucas37 · Manuel Cabeza‑Segura37 · Rosanna Villagrasa38 · Elena Jimenez‑Martí37 · Ana Miralles‑Marco37 · Rodrigo Dienstmann29 · Sarah Derks18,19,20 · Ceu Figueiredo2,3,4 · Andrés Cervantes37,38,39 · Fátima Carneiro2,3,4,5 · Tania Fleitas‑Kanonnikoff37</t>
    </r>
  </si>
  <si>
    <t>Comprehensive histopathological analysis of gastric cancer in European and Latin America populations reveals differences in PDL1, HER2, p53 and MUC6 expression</t>
  </si>
  <si>
    <t>Gastric Cancer</t>
  </si>
  <si>
    <t>https://doi.org/10.1007/s10120-024-01578-3</t>
  </si>
  <si>
    <t>Año Publicación</t>
  </si>
  <si>
    <t xml:space="preserve"> 17-2024</t>
  </si>
  <si>
    <t>OAD0000486594</t>
  </si>
  <si>
    <t>USD 2.740</t>
  </si>
  <si>
    <t>Patient-Derived Organoid Models for NKT Cell-Based
Cancer Immunotherapy</t>
  </si>
  <si>
    <t>Cancers</t>
  </si>
  <si>
    <t>https://doi.org/10.3390/
cancers17030406</t>
  </si>
  <si>
    <t>29-02-2025</t>
  </si>
  <si>
    <t>https://doi: 10.3389/fpubh.2025.1531751</t>
  </si>
  <si>
    <t>ACG Clinical Guideline: Diagnosis and Management of Gastric Premalignant Conditions</t>
  </si>
  <si>
    <t>Alejandra Fuentes-García, Carla Flores-Figueroa, Alondra Castillo-Delgado</t>
  </si>
  <si>
    <t>Accurate prognostic awareness is associated with increased emotional distress in Latino patients with advanced cancer</t>
  </si>
  <si>
    <t>https://doi.org/
10.1017/S1478951525000252</t>
  </si>
  <si>
    <t>Barriers to accessing formal cancer care from the perspective
of informal caregivers: a qualitative study</t>
  </si>
  <si>
    <t>Supportive Care in Cancer</t>
  </si>
  <si>
    <t>Education and Symptom Reporting in an mHealth App for Patients With Cancer: Mixed Methods Development and Validation Study</t>
  </si>
  <si>
    <t>JMIR Human Factors</t>
  </si>
  <si>
    <t xml:space="preserve"> 3-2025</t>
  </si>
  <si>
    <t>USD 2123,95</t>
  </si>
  <si>
    <t>doi:10.2196/60169</t>
  </si>
  <si>
    <t>Using implementation science to develop and deploy an oncology electronic health record</t>
  </si>
  <si>
    <t>Informatics in Medicine</t>
  </si>
  <si>
    <t xml:space="preserve"> 4-2025</t>
  </si>
  <si>
    <t>Spiritual care for prevention of psychological disorders in critically ill patients: study protocol of a feasibility randomised controlled pilot trial</t>
  </si>
  <si>
    <t xml:space="preserve"> 5-2025</t>
  </si>
  <si>
    <t>https://doi.org/10.1136/bmjopen-2024-084914</t>
  </si>
  <si>
    <t>Assessing the alignment of Chilean Food-Based Dietary Guidelines on cancer prevention: a content analysis</t>
  </si>
  <si>
    <t xml:space="preserve"> 6-2025</t>
  </si>
  <si>
    <t>USD 3304,47</t>
  </si>
  <si>
    <t>Actualizado por Carolina Cabrera:  14-05-2025</t>
  </si>
  <si>
    <t xml:space="preserve"> 7-2025</t>
  </si>
  <si>
    <t>USD 4765</t>
  </si>
  <si>
    <t xml:space="preserve">https://doi.org/10.1007/s00520-025-09426-5 </t>
  </si>
  <si>
    <t xml:space="preserve"> 8-2025</t>
  </si>
  <si>
    <t>USD 2290</t>
  </si>
  <si>
    <t>Exploring the Characteristics of Cancer-Centred Civil Society Organisations in Chile: A Qualitative Study</t>
  </si>
  <si>
    <t>Antonia Roberts1,4, Francisca Vezzani 1,4, Báltica Cabieses 1,2,4, Alexandra Obach1,4, Carla Campaña 1,4, Manuel A. Espinoza 3,4.</t>
  </si>
  <si>
    <t>Healthcare</t>
  </si>
  <si>
    <t xml:space="preserve">https://doi.org/10.3390/healthcare13101133 </t>
  </si>
  <si>
    <t xml:space="preserve">https://doi.org/10.1016/j.imu.2025.101625 </t>
  </si>
  <si>
    <t>Sociodemographic, political, and policy contexts of cancer care: A comparative analysis of countries with the highest survival rates</t>
  </si>
  <si>
    <t>USD 2200 solo 50% US 1100</t>
  </si>
  <si>
    <t>Solicitud 01-2024</t>
  </si>
  <si>
    <t>Solicitud 02-2024</t>
  </si>
  <si>
    <t>Solicitud 03-2024</t>
  </si>
  <si>
    <t>Solicitud 04-2024</t>
  </si>
  <si>
    <t>TOTAL FINANCIADO FONDOS 2023</t>
  </si>
  <si>
    <t>al 15 de mayo 2025</t>
  </si>
  <si>
    <t>31 pub. Inf Avance 02-2024</t>
  </si>
  <si>
    <t>8 pub. Inf Avance 03-2025</t>
  </si>
  <si>
    <t>USD 1440</t>
  </si>
  <si>
    <t>Total gastado</t>
  </si>
  <si>
    <t>PRESUPUESTO UC-Inicial</t>
  </si>
  <si>
    <t>PRESUPUESTO UC- Final</t>
  </si>
  <si>
    <t>PRESUPUESTO 2025</t>
  </si>
  <si>
    <t>xx financiadas (100%)   xx financiadas (50%)</t>
  </si>
  <si>
    <t>8 publicaciones fueron financiadas con fondos 2024</t>
  </si>
  <si>
    <t>Año 1- 2023</t>
  </si>
  <si>
    <t>Año 2- 2024</t>
  </si>
  <si>
    <t>Año 3- 2025</t>
  </si>
  <si>
    <t xml:space="preserve">TOTAL </t>
  </si>
  <si>
    <t>GASTADO EN PUBLICACIONES</t>
  </si>
  <si>
    <t>8 publicaciones del Informe de Avance 2025 fueron financiadas con fondos 2024</t>
  </si>
  <si>
    <t>Total gastado ppto 2024</t>
  </si>
  <si>
    <t>Pagado con fondos 2024</t>
  </si>
  <si>
    <t>FINANCIADO CON FONDOS 2025 $</t>
  </si>
  <si>
    <t>TOTAL Inf de Avance 2024-Ppto 2024</t>
  </si>
  <si>
    <t>Ppto WP- 2025</t>
  </si>
  <si>
    <t>Centro de Oncología de Precisión, Universidad Mayor,
Santiago, Chile</t>
  </si>
  <si>
    <t>1 Department of Pathology, Hospital Clinico Universitario, INCLIVA, Biomedical Research Institute, University
of Valencia, Valencia, Spain
2 Ipatimup, Institute of Molecular Pathology and Immunology of the University of Porto, Rua Júlio Amaral de Carvalho 45,
4200 ‑135 Porto, Portugal
3 i3S‑Instituto de Investigação e Inovação em Saúde, Universidade Do Porto, Porto, Portugal
4 Faculty of Medicine of the University of Porto, Porto, Portugal
5 Department of Pathology, Unidade Local de Saúde São João, Porto, Portugal
6 Department of Pathology, GENPAT, Asunción, Paraguay
7 Department of Pathology, Hospital General de Valdepeñas, Valdepeñas, Spain
8 Hospital Epidemiology Center, University Hospital Center of São João, Porto, Portugal
9 Department of Public Health and Forensic Sciences, and Medical Education, Faculty of Medicine, University
of Porto, Porto, Portugal
10 EPIUnit‑Institute of Public Health, University of Porto, Porto, Portugal
11 Laboratory for Integrative and Translational Research in Population Health (ITR), University of Porto, Porto,
Portugal
12 Departamento de Tumores de Tubo Digestivo, Instituto Nacional de Cancerología, Mexico City, México
13 Laboratorio de Medicina Traslacional, Instituto Nacional de Cancerología, Mexico City, México
14 Núcleo B de Innovación en Medicina de Precisión, Instituto Nacional de Medicina Genómica, Mexico City, México
15 Departamento de Patología Quirúrgica, Instituto Nacional de Cancerología, Mexico City, México
16 Departamento de Oncología Médica, Instituto Nacional de Cancerología, Mexico City, México
17 Microbes &amp; Cancer. i3S, Instituto de Investigação e Inovação em Saúde, , Rua Alfredo Allen, 208, 4200‑135 Porto,
Portugal
18 Department of Medical Oncology, Amsterdam University Medical Center (UMC) Location Vrije Universiteit
Amsterdam, Amsterdam, Netherlands
19 Cancer Biology and Immunology, Cancer Center Amsterdam, Amsterdam, Netherlands 20 Oncode Institute, Amsterdam, The Netherlands
21 Medical Oncology Department, Instituto de Previsión Social, Asunción, Paraguay
22 Department of Gastroenterology, Instituto de Previsión, Social, Asunción, Paraguay
23 Pathology Department, Instituto de Previsión Social, Asunción, Paraguay
24Oncology Data Science, Valld`Hebron Institute of Oncology,
Barcelona, Spain
30 Cancer Genomics Lab, Valld`Hebron Institute of Oncology,
Barcelona, Spain
31 Medical Oncology Department, Valld`Hebron Institute
of Oncology, Barcelona, Spain
32 Hospital Universitario de Navarra, Navarrabiomed-IdiSNA,
Pamplona, Spain
33 Department of Gastroenterology, Unidade Local de Saúde
São João, Porto, Portugal
34 Department of Oncology, Unidade Local de Saúde São João,
Porto, Portugal
35 Department of Medicine (Oncology, Gastroenterology,
Hepatology, and Pulmonology), Comprehensive Cancer
Center Central Germany (CCCG), University of Leipzig
Medical Center, Leipzig, Germany
36 Anaxomics Biotech, S.L. Barcelona, Barcelona, Spain
37 Department of Medical Oncology, Hospital Clinico
Universitario, INCLIVA, Biomedical Research Institute,
University of Valencia, Avenida Menendez Pelayo nro 4
accesorio, Valencia, Spain
38 Department of Gastroenterology, Hospital Clínico
Universitario de Valencia, Valencia, Spain
39 CiberOnc. Carlos III Institute, Madrid, Spain Medical Oncology Department, Instituto Alexander Fleming, Buenos Aires, Argentina</t>
  </si>
  <si>
    <t>Bradford Hill Clinical Research Center</t>
  </si>
  <si>
    <t>Nro. Inst. Nacionales</t>
  </si>
  <si>
    <t>School of Nursing, Faculty of Health, Universidad Santo Tom´as, Chile
d School of Speech Therapy, Faculty of Medicine, Universidad de Valparaíso,</t>
  </si>
  <si>
    <t>1Division of Gastroenterology, The University of Alabama at Birmingham, Birmingham, Alabama, USA; 2Division of Gastroenterology, Prisma Health, Greenville, South Carolina, USA; 3Department of Gastroenterology, Kaiser Permanente Medical Center, Santa Clara, California, USA; 4Kaiser Permanente Northern California Division of Research, Oakland, California, USA; 5Department of Pathology, University of Miami Miller School of Medicine, Miami, Florida, USA, 7Division of
Gastroenterology, Los Angeles General Medical Center, Los Angeles, California, USA; 8Division of Gastroenterology, University of Virginia, Charlottesville, Virginia,
USA; 9Division of Gastroenterology, University of California, San Diego, La Jolla, California, USA; 10Gastroenterology Section, Jennifer Moreno Veterans Affairs
Medical Center, La Jolla, California, USA.</t>
  </si>
  <si>
    <t>Nro. Inst. Internacionales</t>
  </si>
  <si>
    <t>Centro Oncológico del Norte, Antofagasta, Chile</t>
  </si>
  <si>
    <t>3Escuela de Psicología, Facultad de Educación, Psicología y Familia, Universidad Finis Terrae, 5Unidad de Cuidados Paliativos, Complejo Asistencial Dr. Sótero del Río, Servicio de Salud Metropolitano Sur Oriente, Puente Alto,</t>
  </si>
  <si>
    <t>Faculty of Medicine, Antonio Nariño University, Bogotá, Colombia; 6School of Nursing, Industrial University of Santander, Bucaramanga, Colombia</t>
  </si>
  <si>
    <t>7Faculty of Engineering, Business, and Agro-Environmental Sciences, Department of Computer Civil Engineering, Universidad Viña del Mar, Viña
del Mar, Chile; 9UC-CHRISTUS Health Network, Santiago, Chile</t>
  </si>
  <si>
    <t>Escuela de Ingeniería Informática, Universidad de Valparaíso, Departamento de Ciencias de la Computación y Tecnologías de la Información, Universidad del Bío-Bío, Chillán; Escuela de Kinesiología. Facultad de Odontología y Salud, Universidad Diego Portales, Santiago</t>
  </si>
  <si>
    <t xml:space="preserve">4Unidad de Paciente Critico, Complejo Asistencial Dr Sotero del Río, Santiago, Servicio de Medicina Interna, Complejo Asistencial Dr Sotero del Río, Santiago,
Chile; </t>
  </si>
  <si>
    <t>8Department of Intensive Care Adults, Erasmus MC University Medical Center, Rotterdam, The Netherlands</t>
  </si>
  <si>
    <t>Centro para la Transversalización de Género en I+D+i+e, Vicerrectoría de Investigación y Doctorados, Universidad Autónoma de Chile, Santiago, 2 Department of Nutrition and Public Health, Faculty of Health and Food Science, Universidad del Bío-Bío, Chillan, Escuela de Nutrición y Dietética, Facultad de Medicina, Universidad Finis Terrae, Providencia</t>
  </si>
  <si>
    <t>Institute of Biomedical Sciences, Faculty of Health Sciences, Universidad Autónoma de Chile, Temuco 4810101</t>
  </si>
  <si>
    <t>1Departamento de Coordinación de Garantías y Prestaciones de Salud, División de Planificación Sanitaria, Ministerio de Salud de Chile, Santiago, Chile, 2Centro de Investigación Clínica, Unidad de Evaluación de Tecnologías en Salud (ETESA UC), Pontificia Universidad Católica de Chile, Santiago,</t>
  </si>
  <si>
    <t xml:space="preserve">a Department of Psychology, Pontificia Universidad Católica de Chile, Santiago, Chile; b Research Center for Integrated Disaster Risk Management (CIGIDEN), ANID/FONDAP/1523A0009 Santiago, Chile; d Engineering Sciences Department, Universidad Andres Bello, Santiago, Chile; e Industrial and Systems Engineering Department, Pontificia Universidad Católica de Chile, Santiago, Chile, </t>
  </si>
  <si>
    <t>4Advanced Center for Chronic Diseases (ACCDiS), FONDAP, Santiago, Chile/ 9Hepato-pancreatic &amp; biliary surgery team, Hospital Dr. Herna´n Henriquez Aravena, Temuco, Chile/ 10Laboratorio de Inmunopatolog´ıa Traslacional, Facultad de Ciencias, Universidad Mayor, Chile</t>
  </si>
  <si>
    <t>a Center for Cancer Prevention and Control, Santiago, Chile/ b Escuela de Salud Pública, Pontificia Universidad Católica de Chile, Santiago, Chile/ c Centro de Innovación Ancora UC, Pontificia Universidad Católica de Chile, Santiago, Chile/d Universidad Católica de la Santísima Concepción, Concepción, Chile/ e Instituto de Tecnología para la Innovación en Salud y Bienestar, Facultad de Ingeniería, Universidad Andrés Bello, Santiago, Chile/ f Departamento de Salud Digital, Ministerio de Salud, Santiago, Chile g Escuela de Medicina, Facultad de Medicina, Universidad Andrés Bello, Viña del Mar, Chile</t>
  </si>
  <si>
    <r>
      <t xml:space="preserve">1 Centro Genética y Genómica, Instituto de Ciencias E Innovación en Medicina, Facultad de Medicina Clínica Alemana, Universidad del Desarrollo, Santiago, Chile.                                     
2 Departamento de Oncología Básico Clínica, Facultad de Medicina, Universidad de Chile, Santiago, Chile. 3 Centro Para La Prevención y el Control del Cáncer, Universidad de Chile, Santiago, Chile.  4 Departamento de Hematología y Oncología and Advanced Center for Chronic Diseases, Pontificia Universidad Católica de Chile, Santiago, Chile. 5 </t>
    </r>
    <r>
      <rPr>
        <b/>
        <sz val="11"/>
        <color theme="1"/>
        <rFont val="Calibri"/>
        <family val="2"/>
        <scheme val="minor"/>
      </rPr>
      <t>Centro de Oncología de Precisión, Universidad Mayor</t>
    </r>
    <r>
      <rPr>
        <sz val="11"/>
        <color theme="1"/>
        <rFont val="Calibri"/>
        <family val="2"/>
        <scheme val="minor"/>
      </rPr>
      <t xml:space="preserve">, Santiago, Chile /6 </t>
    </r>
    <r>
      <rPr>
        <b/>
        <sz val="11"/>
        <color theme="1"/>
        <rFont val="Calibri"/>
        <family val="2"/>
        <scheme val="minor"/>
      </rPr>
      <t>CORFO Center of Excellence in Precision Medicine Pfizer, Santiago, Chile</t>
    </r>
    <r>
      <rPr>
        <sz val="11"/>
        <color theme="1"/>
        <rFont val="Calibri"/>
        <family val="2"/>
        <scheme val="minor"/>
      </rPr>
      <t>.  7 Instituto de Ciencias Biomédicas, Facultad de Medicina, Universidad de Chile, Santiago, Chile.  9</t>
    </r>
    <r>
      <rPr>
        <b/>
        <sz val="11"/>
        <color theme="1"/>
        <rFont val="Calibri"/>
        <family val="2"/>
        <scheme val="minor"/>
      </rPr>
      <t xml:space="preserve"> Centro de Investigación Clínica Bradford Hill, Santiago, Chile/</t>
    </r>
    <r>
      <rPr>
        <sz val="11"/>
        <color theme="1"/>
        <rFont val="Calibri"/>
        <family val="2"/>
        <scheme val="minor"/>
      </rPr>
      <t xml:space="preserve"> 10 </t>
    </r>
    <r>
      <rPr>
        <b/>
        <sz val="11"/>
        <color theme="1"/>
        <rFont val="Calibri"/>
        <family val="2"/>
        <scheme val="minor"/>
      </rPr>
      <t>Instituto Nacional del Tórax</t>
    </r>
    <r>
      <rPr>
        <sz val="11"/>
        <color theme="1"/>
        <rFont val="Calibri"/>
        <family val="2"/>
        <scheme val="minor"/>
      </rPr>
      <t xml:space="preserve">, Santiago, Chile/11 Departamento de Patología, </t>
    </r>
    <r>
      <rPr>
        <b/>
        <sz val="11"/>
        <color theme="1"/>
        <rFont val="Calibri"/>
        <family val="2"/>
        <scheme val="minor"/>
      </rPr>
      <t>Hospital Clínico Regional de Concepción Dr. Guillermo Grant Benavente Chile, Concepcion,</t>
    </r>
    <r>
      <rPr>
        <sz val="11"/>
        <color theme="1"/>
        <rFont val="Calibri"/>
        <family val="2"/>
        <scheme val="minor"/>
      </rPr>
      <t xml:space="preserve"> Chile/12 </t>
    </r>
    <r>
      <rPr>
        <b/>
        <sz val="11"/>
        <color theme="1"/>
        <rFont val="Calibri"/>
        <family val="2"/>
        <scheme val="minor"/>
      </rPr>
      <t>Departamento de Salud Pública, Facultad de Medicina, Universidad Católica del Norte, La Serena,</t>
    </r>
    <r>
      <rPr>
        <sz val="11"/>
        <color theme="1"/>
        <rFont val="Calibri"/>
        <family val="2"/>
        <scheme val="minor"/>
      </rPr>
      <t xml:space="preserve"> Chile. 
13 Departamento de Ciencias Biomédicas, Facultad de Medicina, Universidad Católica Del Norte, La Serena, Chile/ 14 Departamento de Medicina Interna, Servicio de Oncología, Hospital Clínico de La Universidad de Chile, Santiago, Chile./15 </t>
    </r>
    <r>
      <rPr>
        <b/>
        <sz val="11"/>
        <color theme="1"/>
        <rFont val="Calibri"/>
        <family val="2"/>
        <scheme val="minor"/>
      </rPr>
      <t>Hospital de Puerto Montt, Puerto Montt,</t>
    </r>
    <r>
      <rPr>
        <sz val="11"/>
        <color theme="1"/>
        <rFont val="Calibri"/>
        <family val="2"/>
        <scheme val="minor"/>
      </rPr>
      <t xml:space="preserve"> Chile. /16 Centro de Genómica y Bioinformática, Universidad Mayor, Santiago, Chile./19 Instituto de Investigación Interdisciplinario, Vicerrectoría Académica, </t>
    </r>
    <r>
      <rPr>
        <b/>
        <sz val="11"/>
        <color theme="1"/>
        <rFont val="Calibri"/>
        <family val="2"/>
        <scheme val="minor"/>
      </rPr>
      <t>Universidad de Talca, Talca</t>
    </r>
    <r>
      <rPr>
        <sz val="11"/>
        <color theme="1"/>
        <rFont val="Calibri"/>
        <family val="2"/>
        <scheme val="minor"/>
      </rPr>
      <t xml:space="preserve">, Chile/ 21 </t>
    </r>
    <r>
      <rPr>
        <b/>
        <sz val="11"/>
        <color theme="1"/>
        <rFont val="Calibri"/>
        <family val="2"/>
        <scheme val="minor"/>
      </rPr>
      <t>Millennium Institute for Immunology and Immunotherapy,</t>
    </r>
    <r>
      <rPr>
        <sz val="11"/>
        <color theme="1"/>
        <rFont val="Calibri"/>
        <family val="2"/>
        <scheme val="minor"/>
      </rPr>
      <t xml:space="preserve"> Santiago, Chile.</t>
    </r>
  </si>
  <si>
    <t>1Division of Cancer Epidemiology &amp; Genetics, National Cancer Institute, Rockville, MD, USA
2Department of Mathematics, The Technical University of Munich, Munich, Germany/ 5Frederick National Laboratory for Cancer Research, National Cancer Institute, Frederick, MD, USA
6Division of Intramural Research, National Institute on Minority Health &amp; Health Disparities, Bethesda, MD, USA
7Laboratory of Human Carcinogenesis, Center for Cancer Research, National Cancer Institute, National Institutes of Health,
Bethesda, MD, USA</t>
  </si>
  <si>
    <t xml:space="preserve">8 NIDCR, National Institute of Health, Bethesda, USA. /17 Laboratory of Medical Genomics, A. C. Camargo Cancer Center, Sao Paulo, Brazil./18 Department of Clinical Oncology, A.C. Camargo Cancer Center, Sao Paulo, Brazil/ 20 Department of Radiation Oncology, Cancer Institute of New Jersey, Rutgers University, Newark, NJ, USA.                                     
</t>
  </si>
  <si>
    <t>https://doi.org/10.1371/journal.pone.0315589</t>
  </si>
  <si>
    <t>PAB392735</t>
  </si>
  <si>
    <t>Department of Health Sciences, University of York, United
Kingdom</t>
  </si>
  <si>
    <t>Utility Values of Health Status in Gastric Cancer: A Systematic Review</t>
  </si>
  <si>
    <t>Department of Health Policy, School of Medicine and Center for Health Policy, Freeman Spogli Institute, Stanford University, Stanford, CA, USA</t>
  </si>
  <si>
    <t>https://doi.org/10.1016/j.vhri.2024.101063</t>
  </si>
  <si>
    <t>Implementation of an Educational Intervention for Gastric Cancer Awareness in the General Population in CELAC and Europe: A Strategy Proposed by the LEGACy Consortium</t>
  </si>
  <si>
    <t>Journal of Cancer Education</t>
  </si>
  <si>
    <t>https://doi.org/10.1007/s13187-025-02578-2</t>
  </si>
  <si>
    <t>1 Department of Medical Oncology, Hospital Clínico
Universitario, Biostatistical Unit, INCLIVA, Biomedical
Research Institute, Avenida Menendez Pelayo Nro 4
Accesorio, 46010 Valencia, Spain
2 Department of Medical Oncology Hospital Clínico
Universitario, INCLIVA, Biomedical Research Institute,
University of Valencia, Avenida Blasco Ibañez 17,
46010 Valencia, Spain
3 Department of Biochemistry, University of Valencia, Avenida
Blasco Ibañez XX, 46010 Valencia, Spain
4 Vall d Hebron Institute of Oncology, Biostatistical Unit,
Calle Nazaret 155‑177 08035, Barcelona, Spain
5 Genpat. Pathology Department, Guido Spano 1448,
Asunción, Paraguay
6 Oncology Department, Instituto de Previsión Social, Av
Santisimo Sacramento y Dr. Manuel Peña, Asunción,
Paraguay
7 Cátedra de Biofísica, Universidad Nacional de Asunción,
Campus Universitario San Lorenzo, San Lorenzo, Paraguay
8 Núcleo B de Innovación en Medicina de Precisión,
Instituto Nacional de Medicina Genómica, Periferico Sur
Número 4809, Colonia Arenal, Tepepán, Alcaldia Tialpan,
14610 Ciudad de México, Mexico
9 Departamento de Gastroenterología, UMAE, Hospital de
Especialidades Dr. Bernardo Sepúlveda, Centro Médico
Nacional Siglo XXI, IMSS, Avda Cuauhtemoc 330,
Doctores, Cuauhtemoc, 06720 Ciudad de México, Mexico
10 Departamento de Tumores de Tubo Digestivo, Instituto
Nacional de Cancerología, Avda San Fernando 22, Belisario
Dominguez, Secc 16, Tialpán, 14080 Ciudad de México,
Mexico
11 Laboratorio de Medicina Traslacional, Instituto Nacional de
Cancerología, Avda San Fernando 22, Belisario Dominguez,
Secc 16, Tialpán, 14080 Ciudad de México, Mexico
12 Institute of Molecular Pathology and Immunology
of the University of Porto (IPATIMUP), Rua Julio Amaral de
Carvalho, 45, 4200‑135 Porto, Portugal
13 i3S–Instituto de Investigação e Inovação em Saúde,
Universidade Do Porto, R. Alfredo Allen 208,
4200‑135 Porto, Portugal
14 Department of Pathology, Faculty of Medicine
of the University of Porto, Alameida Prof. Hernani Monteiro,
4200‑319 Porto, Portugal
15 Department of Medical Oncology, Amsterdam UMC
Location University of Amsterdam, Meibergdreef 9,
Amsterdam, The Netherlands
16 Cancer Center Amsterdam, Cancer Biology and Immunology,
Meibergdreef 9, Amsterdam, The Netherlands
17 Oncode Institute, Jaarbeursplein 6, 3521 AL Utrecht,
The Netherlands
18 Oncology Department, Instituto Alexander Flemming,
Crammer 1180, C1426 Buenos Aires, Argentina
19 Oncology Department, Vall d Hebron Institute of Oncology,
Calle Nazareth 115‑117, 08035 Barcelona, Spain
20 Gastroenterology Department, Pontificia Universidad
Católica de Chile, Santiago, Chile
21 Centro Para La Prevención y Control del Cáncer
(CECAN), Avenida Libertador Bernardo O`Higgins 340,
Santiago de Chile, Chile
22 CIBERONC, Instituto de Salud Carlos III, Avenida de
Monforte de Lemos 5, Fuencarral‑El Pardo, 28029 Madrid,
Spain</t>
  </si>
  <si>
    <t>Innovation Meets Practice: A Scalable Simulation-based Methodology for Massive Paracentesis Training</t>
  </si>
  <si>
    <t>Gastroenterology</t>
  </si>
  <si>
    <t>https://doi.org/10.1053/j.gastro.2024.12.015</t>
  </si>
  <si>
    <t>Helicobacter pylori and Colorectal Cancer: Meeting Sir Austin Bradford Hill's Causality Criteria</t>
  </si>
  <si>
    <t>1Department of Gastroenterology and Digestive Endoscopy, Faculty of Medicine, Universidad Nacional de Colombia, Bogotá, Colombia.
2Gastroenterology Unit, Hospital Universitario Nacional de Colombia, Bogotá, Colombia.
3Gastroenterology and Digestive Endoscopy Unit, Gastroenterology Center, Bogotá, Colombia.
4Hospital Internacional de Colombia, Bucaramanga, Colombia.
5Department of Gastroenterology, Faculty of Medicine, Pontificia Universidad Católica de Chile, Santiago, Chile.
6Centro Para la Prevención y Control del Cancer (CECAN), Santiago, Chile.
7Hospital Central de la Policía, Bogotá, Colombia.
8Colombian Research Group on Helicobacter pylori, Bogotá, Colombia.
9Infectious Diseases and Cancer Research Group (GINFYCA), Centro de Investigaciones Clínicas, Fundación Hospital San Pedro, Pasto, Nariño, Colombia.</t>
  </si>
  <si>
    <t>Helicobacter</t>
  </si>
  <si>
    <t>https://doi.org/10.1111/hel.70024</t>
  </si>
  <si>
    <t>Randomized Trial Assessing Prospective Surveillance and Exercise for Preventing Breast Cancer-Related Lymphedema in High-Risk Patients</t>
  </si>
  <si>
    <t>https://doi.org/10.1016/j.apmr.2025.03.002</t>
  </si>
  <si>
    <t>Feasibility of Solution-focused Brief Therapy for individuals with
alcohol use in primary health care</t>
  </si>
  <si>
    <t>cDepartamento de Matemática y Ciencia de la Computación,
Universidad de Santiago de Chile, Santiago, Chile</t>
  </si>
  <si>
    <t>https://doi.org/10.1080/15313204.2025.2510210</t>
  </si>
  <si>
    <t>Journal of Ethnic &amp; Cultural Diversity in Social Work</t>
  </si>
  <si>
    <t>Alpha-Lipoic Acid-Mediated Inhibition of LTB4 Synthesis Suppresses Epithelial-Mesenchymal Transition, Modulating Functional and Tumorigenic Capacities in Non-Small Cell Lung Cancer A549 Cells</t>
  </si>
  <si>
    <r>
      <t xml:space="preserve">1- </t>
    </r>
    <r>
      <rPr>
        <b/>
        <sz val="8"/>
        <color theme="1"/>
        <rFont val="Calibri"/>
        <family val="2"/>
        <scheme val="minor"/>
      </rPr>
      <t>Servicio de Salud del Reloncavi,</t>
    </r>
    <r>
      <rPr>
        <sz val="8"/>
        <color theme="1"/>
        <rFont val="Calibri"/>
        <family val="2"/>
        <scheme val="minor"/>
      </rPr>
      <t xml:space="preserve"> Esmeralda 269, Puerto Montt, 2-Faculty of Health and Odontology, </t>
    </r>
    <r>
      <rPr>
        <b/>
        <sz val="8"/>
        <color theme="1"/>
        <rFont val="Calibri"/>
        <family val="2"/>
        <scheme val="minor"/>
      </rPr>
      <t>Universidad Diego Portales</t>
    </r>
    <r>
      <rPr>
        <sz val="8"/>
        <color theme="1"/>
        <rFont val="Calibri"/>
        <family val="2"/>
        <scheme val="minor"/>
      </rPr>
      <t xml:space="preserve">, Santiago, 3- </t>
    </r>
    <r>
      <rPr>
        <b/>
        <sz val="8"/>
        <color theme="1"/>
        <rFont val="Calibri"/>
        <family val="2"/>
        <scheme val="minor"/>
      </rPr>
      <t>Millennium Institute on Immunology and Immunotherapy</t>
    </r>
    <r>
      <rPr>
        <sz val="8"/>
        <color theme="1"/>
        <rFont val="Calibri"/>
        <family val="2"/>
        <scheme val="minor"/>
      </rPr>
      <t>, Santiago; 4-</t>
    </r>
    <r>
      <rPr>
        <b/>
        <sz val="8"/>
        <color theme="1"/>
        <rFont val="Calibri"/>
        <family val="2"/>
        <scheme val="minor"/>
      </rPr>
      <t>Institute of Nutrition and Food Technology (INTA)</t>
    </r>
    <r>
      <rPr>
        <sz val="8"/>
        <color theme="1"/>
        <rFont val="Calibri"/>
        <family val="2"/>
        <scheme val="minor"/>
      </rPr>
      <t xml:space="preserve">, University of Chile, 5-Laboratory of Nano‑Regenerative Medicine, Faculty of Medicine, </t>
    </r>
    <r>
      <rPr>
        <b/>
        <sz val="8"/>
        <color theme="1"/>
        <rFont val="Calibri"/>
        <family val="2"/>
        <scheme val="minor"/>
      </rPr>
      <t>Universidad de Los Andes</t>
    </r>
    <r>
      <rPr>
        <sz val="8"/>
        <color theme="1"/>
        <rFont val="Calibri"/>
        <family val="2"/>
        <scheme val="minor"/>
      </rPr>
      <t xml:space="preserve">, Santiago; 6- IMPACT‑ Center of Interventional Medicine for Precision and Advanced Cellular Therapy, Universidad de Los Andes, Santiago, 7- Center for Bioethics,Faculty of Medicine, Clinica Alemana, Universidad del Desarrollo Santiago, 8- </t>
    </r>
    <r>
      <rPr>
        <b/>
        <sz val="8"/>
        <color theme="1"/>
        <rFont val="Calibri"/>
        <family val="2"/>
        <scheme val="minor"/>
      </rPr>
      <t>Chilean Cooperative Group for Oncological Research (GOCCHI)</t>
    </r>
    <r>
      <rPr>
        <sz val="8"/>
        <color theme="1"/>
        <rFont val="Calibri"/>
        <family val="2"/>
        <scheme val="minor"/>
      </rPr>
      <t>, Santiago, 9- National Cancer Institute, Santiago, 10-</t>
    </r>
    <r>
      <rPr>
        <b/>
        <sz val="8"/>
        <color theme="1"/>
        <rFont val="Calibri"/>
        <family val="2"/>
        <scheme val="minor"/>
      </rPr>
      <t xml:space="preserve"> Bioethics and Law Observatory,</t>
    </r>
    <r>
      <rPr>
        <sz val="8"/>
        <color theme="1"/>
        <rFont val="Calibri"/>
        <family val="2"/>
        <scheme val="minor"/>
      </rPr>
      <t xml:space="preserve"> 11-Institute of Sciences and Innovation in Medicine, Universidad del Desarrollo, Santiago, 12- </t>
    </r>
    <r>
      <rPr>
        <b/>
        <sz val="8"/>
        <color theme="1"/>
        <rFont val="Calibri"/>
        <family val="2"/>
        <scheme val="minor"/>
      </rPr>
      <t>Advanced Center for Chronic Diseases (</t>
    </r>
    <r>
      <rPr>
        <sz val="8"/>
        <color theme="1"/>
        <rFont val="Calibri"/>
        <family val="2"/>
        <scheme val="minor"/>
      </rPr>
      <t xml:space="preserve">FONDAP‑ACCDiS), 13- </t>
    </r>
    <r>
      <rPr>
        <b/>
        <sz val="8"/>
        <color theme="1"/>
        <rFont val="Calibri"/>
        <family val="2"/>
        <scheme val="minor"/>
      </rPr>
      <t>National Cancer Commission, Santiago</t>
    </r>
  </si>
  <si>
    <t xml:space="preserve">https://doi.org/10.1057/s41599-024-04259-9 </t>
  </si>
  <si>
    <r>
      <t xml:space="preserve">Laboratorio de Neurotoxicología Ambiental, Departamento de Ciencias Biomédicas, Facultad de Medicina, </t>
    </r>
    <r>
      <rPr>
        <b/>
        <sz val="9"/>
        <color theme="1"/>
        <rFont val="Calibri"/>
        <family val="2"/>
        <scheme val="minor"/>
      </rPr>
      <t>Universidad Católica del Norte</t>
    </r>
    <r>
      <rPr>
        <sz val="9"/>
        <color theme="1"/>
        <rFont val="Calibri"/>
        <family val="2"/>
        <scheme val="minor"/>
      </rPr>
      <t xml:space="preserve">, Coquimbo, Chile, 6 Centro de Investigación y Desarrollo Tecnológico en Algas y otros Recursos Biológicos (CIDTA), Universidad Católica del Norte, Coquimbo, Chile, 7 Institute of Agri-food, Animal and Environmental Sciences (ICA3), </t>
    </r>
    <r>
      <rPr>
        <b/>
        <sz val="9"/>
        <color theme="1"/>
        <rFont val="Calibri"/>
        <family val="2"/>
        <scheme val="minor"/>
      </rPr>
      <t>Universidad de O' Higgins, San Fernando</t>
    </r>
    <r>
      <rPr>
        <sz val="9"/>
        <color theme="1"/>
        <rFont val="Calibri"/>
        <family val="2"/>
        <scheme val="minor"/>
      </rPr>
      <t xml:space="preserve">, Chile, 8 Unidad de Innovación en Prevención y Oncología de Precisión, Centro Oncológico, Facultad de Medicina, Universidad Católica del Maule, Talca, Chile, 9 In Vivo Tumor Biology Research Facility, Centro Oncológico, Facultad de Medicina, Universidad Católica del Maule, Talca, Chile, 10 The Neuropsychology and Cognitive Neurosciences Research Center CINPSI Neurocog, Faculty of Health Sciences, Universidad Católica del Maule, Talca, </t>
    </r>
    <r>
      <rPr>
        <b/>
        <sz val="9"/>
        <color theme="1"/>
        <rFont val="Calibri"/>
        <family val="2"/>
        <scheme val="minor"/>
      </rPr>
      <t>Advanced Center for Chronic Diseases (ACCDiS), Centro de Desarrollo Urbano Sustentable (CEDEUS),</t>
    </r>
    <r>
      <rPr>
        <sz val="9"/>
        <color theme="1"/>
        <rFont val="Calibri"/>
        <family val="2"/>
        <scheme val="minor"/>
      </rPr>
      <t xml:space="preserve"> Santiago</t>
    </r>
  </si>
  <si>
    <r>
      <rPr>
        <b/>
        <sz val="9"/>
        <color theme="1"/>
        <rFont val="Calibri"/>
        <family val="2"/>
        <scheme val="minor"/>
      </rPr>
      <t>Millennium Institute on Immunology and Immunotherapy, L</t>
    </r>
    <r>
      <rPr>
        <sz val="9"/>
        <color theme="1"/>
        <rFont val="Calibri"/>
        <family val="2"/>
        <scheme val="minor"/>
      </rPr>
      <t xml:space="preserve">aboratory of Integrative Biology (LIBi), Centro de Excelencia en Medicina Traslacional (CEMT), Scientific and Technological Bioresource Nucleus (BIOREN), Universidad de La Frontera, Temuco 4811230, Chile, </t>
    </r>
    <r>
      <rPr>
        <b/>
        <sz val="9"/>
        <color theme="1"/>
        <rFont val="Calibri"/>
        <family val="2"/>
        <scheme val="minor"/>
      </rPr>
      <t>Biomedical Research Consortium (BMRC), Santiago</t>
    </r>
  </si>
  <si>
    <t>Towards Personalized Precision Oncology: A Feasibility Study of NGS-Based Variant Analysis of FFPE CRC Samples in a Chilean Public Health System Laboratory</t>
  </si>
  <si>
    <t>Curr. Issues Mol. Biol</t>
  </si>
  <si>
    <t>Subdepartamento de Genómica y Genética Molecular, Laboratorio Nacional Biomédico y de Referencia, Instituto de Salud Pública de Chile,  y Departamento Agencia Nacional de Dispositivos Médicos, Instituto de Salud Pública de Chile.  Escuela de Tecnología Médica, Facultad de Salud y Odontología, Universidad Diego Portales
Santiago , Chile</t>
  </si>
  <si>
    <t>Oxidative stress, parity history and remnant follicles in the aged ovary. Insights on ovarian cancer risk and protection.</t>
  </si>
  <si>
    <t xml:space="preserve"> 9-2025</t>
  </si>
  <si>
    <t>USD 3446,42</t>
  </si>
  <si>
    <t>Más allá de la fisiología: Aportes de la antropología médica a la comprensión del cáncer en Chile.</t>
  </si>
  <si>
    <t>Escuela de Antropología, Universidad Diego Portales</t>
  </si>
  <si>
    <t>Antropologías del Sur</t>
  </si>
  <si>
    <r>
      <rPr>
        <b/>
        <sz val="11"/>
        <color theme="1"/>
        <rFont val="Calibri"/>
        <family val="2"/>
        <scheme val="minor"/>
      </rPr>
      <t>Javiera Martinez-Gutierrez</t>
    </r>
    <r>
      <rPr>
        <sz val="11"/>
        <color theme="1"/>
        <rFont val="Calibri"/>
        <family val="2"/>
        <scheme val="minor"/>
      </rPr>
      <t xml:space="preserve">; Angélica Domínguez; Carolina López; Juan Alcántara; Carolina Althausen; Mildred Rojas; Leonardo Véjar; </t>
    </r>
    <r>
      <rPr>
        <b/>
        <sz val="11"/>
        <color theme="1"/>
        <rFont val="Calibri"/>
        <family val="2"/>
        <scheme val="minor"/>
      </rPr>
      <t>Claudia Bambs</t>
    </r>
  </si>
  <si>
    <t>OAD0000611643</t>
  </si>
  <si>
    <t xml:space="preserve"> 10-2025</t>
  </si>
  <si>
    <t>USD 2465</t>
  </si>
  <si>
    <t>APC600692271</t>
  </si>
  <si>
    <t xml:space="preserve"> 11-2025</t>
  </si>
  <si>
    <t>USD 3125</t>
  </si>
  <si>
    <t>Genetic variants and clinical determinants affecting the response to 5-Fluorouracilbased treatment in Chilean patients with advanced colorectal cancer</t>
  </si>
  <si>
    <t>The challenges of cancer survivorship care in Chile: A longitudinal study comparing the quality of care and quality of life for cancer survivors in a primary care network and a Cancer Center in Chile.</t>
  </si>
  <si>
    <t>BMJ Open</t>
  </si>
  <si>
    <t>Data Resource Profile: EULAT Eradicate GBC: the European-Latin American Research Consortium towards Eradication of Preventable Gallbladder Cancer</t>
  </si>
  <si>
    <r>
      <t>Juan Antonio Carbonell‑Asins1 · Elena Jiménez‑Martí2,3 · Sergio Romero2 · Eduardo García4 · Ana Miralles‑Marco2 · Beatriz Lopez2 · Marisol Huerta2 · Carmelo Caballero5 · Hugo Boggino5 ·Cinthia Gauna6 · Olga Beatriz Acevedo‑Funes7 · Gabriel Benitez Nuñez7 · Claudia Melina Céspedes‑Cardozo7 ·Edith A. Fernandez‑Figueroa8 · Nayeli Ortiz‑Olvera9 · Erika Ruiz‑García10,11 · Fátima Carneiro12,13,14 ·Rita Barros12,13,14 · Ceu Figueiredo4,12,13 · Rui M. Ferreira12,13 · Tessa Suzanne Groen ‑ van Schooten15,16,17 ·Demi van Santvliet15 · Sarah Derks15,16,17 · Romina Luca18 · Maria Alsina19 ·</t>
    </r>
    <r>
      <rPr>
        <b/>
        <sz val="8"/>
        <color theme="1"/>
        <rFont val="Calibri"/>
        <family val="2"/>
        <scheme val="minor"/>
      </rPr>
      <t xml:space="preserve"> Arnoldo Riquelme</t>
    </r>
    <r>
      <rPr>
        <sz val="8"/>
        <color theme="1"/>
        <rFont val="Calibri"/>
        <family val="2"/>
        <scheme val="minor"/>
      </rPr>
      <t>20,21 ·
Andrés Cervantes2,22 · Tania Fleitas2</t>
    </r>
  </si>
  <si>
    <r>
      <rPr>
        <b/>
        <sz val="11"/>
        <color theme="1"/>
        <rFont val="Calibri"/>
        <family val="2"/>
        <scheme val="minor"/>
      </rPr>
      <t>Sofía Bowen</t>
    </r>
    <r>
      <rPr>
        <sz val="11"/>
        <color theme="1"/>
        <rFont val="Calibri"/>
        <family val="2"/>
        <scheme val="minor"/>
      </rPr>
      <t>, Loreto Watkins</t>
    </r>
  </si>
  <si>
    <t>Immune profiling of gastric adenocarcinomas in EU and LATAM countries identifies global differences in immune subgroups and microbiome influence</t>
  </si>
  <si>
    <r>
      <t xml:space="preserve">Tessa S. Groen– van Schooten 1,2,3,36, Manuel Cabeza-Segura4,36, Rui M. Ferreira5,6, Carolina Martínez-Ciarpaglini7, Rita Barros5,6,8,9, João Santos-Antunes10, Andreia Costa11, Edith A. Fernández-Figueroa12, Leonardo Lino-Silva 13, Angélica Ixtaccihuatl Hernandez-Guerrero14, Erika Ruiz-García 15,16, Carmelo Caballero17, Hugo Boggino17, Cinthia Gauna18, Daniel Cantero19, Berenice Freile20, Federico Esteso20, Juan O´Connor20, </t>
    </r>
    <r>
      <rPr>
        <b/>
        <sz val="8"/>
        <color theme="1"/>
        <rFont val="Calibri"/>
        <family val="2"/>
        <scheme val="minor"/>
      </rPr>
      <t>Arnoldo Riquelme21, Gareth Owen22, Erick Riquelme23, Juan Carlos Roa</t>
    </r>
    <r>
      <rPr>
        <sz val="8"/>
        <color theme="1"/>
        <rFont val="Calibri"/>
        <family val="2"/>
        <scheme val="minor"/>
      </rPr>
      <t xml:space="preserve"> 24, Gonzalo Latorre25, Marcelo Garrido26, Fiorella Ruiz-Pace27, Marc Diez García Florian Lordick 28, Maria Alsina28,29, 30, Judith Farrés31, Juan Antonio Carbonell-Asins32, Rossana Villagrasa33, Rita Pereira19, Roos E. Pouw34, Elena Jimenez-Martí4, Ana Miralles4, Rodrigo Dientsmann 1,2,3,37✉ and Tania Fleitas Sarah Derks 1234567890();,: © The Author(s) 2025 4,37✉ 27, Ceu Figueiredo 5,6,9, Fatima Carneiro 5,6,8,9, Andrés Cervantes 4,35,</t>
    </r>
  </si>
  <si>
    <t>Genetic Ancestry, Intrinsic Tumor Subtypes, and Breast Cancer Survival in Latin American Women</t>
  </si>
  <si>
    <t>Cancer Research Communications</t>
  </si>
  <si>
    <t>Inbreeding and Gallbladder Cancer Risk: Homozygosity Associations Adjusted for Indigenous American Ancestry, BMI, and Genetic Risk of Gallstone Disease</t>
  </si>
  <si>
    <t>https://doi.org/10.3390/cancers16244195</t>
  </si>
  <si>
    <t>Integrated clinico-molecular analysis of gastric cancer in European and Latin American populations: LEGACY project</t>
  </si>
  <si>
    <r>
      <t xml:space="preserve">R. Dienstmann1,2,3, E. Ruiz-García4,5, M. Alsina6,7, F. Ruiz-Pace1, T. S. Groen-van Schooten8, C. Martínez-Ciarpaglini9, E. A. Fernández-Figueroa10, R. Herrera-Goepfert11, C. Díaz-Romero12, L. Lino-Silva13, A. I. Hernandez-Guerrero14, N. M. Valdez-Reyes5, A. León-Takahashi15, J. C. Falcón-Martínez5, R. E. Pouw16, S. Romero17, R. Villagrasa18, M. Cabeza-Segura17, L. Alarcón-Molero9,19, E. Jimenez-Martí17, A. Miralles17, H. Boggino20, C. Gauna21, R. Pereira21, H. Lezcano22, D. Cantero23, A. Vivancos24, J. Matito24, A. Martin24, M. Gómez24, E. Castillo24, M. Vila24, R. M. Ferreira25,26, R. Barros25,26,27,28, J. Santos-Antunes25,26,27,29, M. Mendes-Rocha25,26,27, A. Costa30, E. Riquelme31, </t>
    </r>
    <r>
      <rPr>
        <b/>
        <sz val="8"/>
        <color theme="1"/>
        <rFont val="Calibri"/>
        <family val="2"/>
        <scheme val="minor"/>
      </rPr>
      <t>J. C. Roa32</t>
    </r>
    <r>
      <rPr>
        <sz val="8"/>
        <color theme="1"/>
        <rFont val="Calibri"/>
        <family val="2"/>
        <scheme val="minor"/>
      </rPr>
      <t xml:space="preserve">, G. Latorre33, B. Freile34, L. Caro35, F. Esteso34, J. O’Connor34, </t>
    </r>
    <r>
      <rPr>
        <b/>
        <sz val="8"/>
        <color theme="1"/>
        <rFont val="Calibri"/>
        <family val="2"/>
        <scheme val="minor"/>
      </rPr>
      <t>A. Riquelme36, G. Owen37</t>
    </r>
    <r>
      <rPr>
        <sz val="8"/>
        <color theme="1"/>
        <rFont val="Calibri"/>
        <family val="2"/>
        <scheme val="minor"/>
      </rPr>
      <t>, M. Garrido38, M. Diez-García6, C. Figueiredo25,26,27, C. Caballero20, F. Lordick39, J. Farrés40, S. Derks8, F. Carneiro25,26,27,28, A. Cervantes17,41y &amp; T. Fleitas17,41y</t>
    </r>
  </si>
  <si>
    <t>https://doi.org/10.1016/j.esmoop.2025.104482</t>
  </si>
  <si>
    <t>SKI regulates rRNA transcription and pericentromeric heterochromatin to ensure centromere integrity and genome stability</t>
  </si>
  <si>
    <t>Nt pub con otros WP</t>
  </si>
  <si>
    <t>Assessing the Impact of a Single Qualitative Fecal Immunochemical Test on Colonoscopy Prioritization and
Mortality in Risk-Stratified Patients with Suspected Colorectal Cancer: A Retrospective Cohort Study</t>
  </si>
  <si>
    <t>UC Christus</t>
  </si>
  <si>
    <r>
      <rPr>
        <b/>
        <sz val="8"/>
        <color theme="1"/>
        <rFont val="Calibri"/>
        <family val="2"/>
        <scheme val="minor"/>
      </rPr>
      <t>Karol Ramırez-Parada</t>
    </r>
    <r>
      <rPr>
        <sz val="8"/>
        <color theme="1"/>
        <rFont val="Calibri"/>
        <family val="2"/>
        <scheme val="minor"/>
      </rPr>
      <t xml:space="preserve">,PT,MSc,MBA,a,b </t>
    </r>
    <r>
      <rPr>
        <b/>
        <sz val="8"/>
        <color theme="1"/>
        <rFont val="Calibri"/>
        <family val="2"/>
        <scheme val="minor"/>
      </rPr>
      <t>Cesar Sanchez</t>
    </r>
    <r>
      <rPr>
        <sz val="8"/>
        <color theme="1"/>
        <rFont val="Calibri"/>
        <family val="2"/>
        <scheme val="minor"/>
      </rPr>
      <t xml:space="preserve">,MD,b,c Irene Cantarero-Villanueva,PT,MSc,PhD,d,e,f_Alvaro1 Reyes,PT,MSc,PhD,gMauricio P.Pinto,PhD,hM. Loreto Bravo,PhD,hDenise Montt-Blanchard,MSc,b,i </t>
    </r>
    <r>
      <rPr>
        <b/>
        <sz val="8"/>
        <color theme="1"/>
        <rFont val="Calibri"/>
        <family val="2"/>
        <scheme val="minor"/>
      </rPr>
      <t>Francisco Acevedo</t>
    </r>
    <r>
      <rPr>
        <sz val="8"/>
        <color theme="1"/>
        <rFont val="Calibri"/>
        <family val="2"/>
        <scheme val="minor"/>
      </rPr>
      <t>,MD,b,c Benjamın Walbaum,MD,c,j,kMargarita Alfaro-Barra,PT,lMargarita Barra-Navarro,PT,a Scarlet Muñoz-Flores,PT,a Constanza Pinto,mSabrina Muñiz,RN,c Felipe Contreras-Briceño,PT,MSc,PhD,a,n Tomás Merino,MD,c Gina Merino,MSco</t>
    </r>
  </si>
  <si>
    <t xml:space="preserve">https://doi.org/10.1016/j.neo.2025.101204 </t>
  </si>
  <si>
    <t xml:space="preserve">https://doi.org/10.3390/ijms26031168 </t>
  </si>
  <si>
    <t xml:space="preserve">https://doi.org/10.1016/j.jcpo.2025.100559 </t>
  </si>
  <si>
    <t xml:space="preserve">http://links.lww.com/AJG/D558, http://links.lww.com/AJG/D559  </t>
  </si>
  <si>
    <t>Archives of Physical Medicine and Rehabilitation</t>
  </si>
  <si>
    <t>a
Departamento de Kinesiología, Escuela Ciencias de la Salud, Facultad de Medicina, Pontificia Universidad Católica de Chile, Santiago, Chile
b
Centro para la prevención y el control del cáncer, CECAN, Santiago, Chile
c
Department of Hematology-Oncology, Faculty of Medicine, Pontificia Universidad Católica de Chile, Santiago, Chile
d
Department of Physical Therapy, Faculty of Health Sciences, University of Granada, Granada, Spain
e
Instituto de Investigación Biosanitaria (ibs.GRANADA), Granada, Spain
f
Sport and Health Joint University Institute (iMUDS), Granada, Spain
g
Exercise and Rehabilitation Sciences Laboratory, School of Physical Therapy, Faculty of Rehabilitation Sciences, Universidad Andres Bello, Santiago, Chile
h
Support team for Oncological Research and Medicine (STORM), Santiago, Chile
i
School of Design, Faculty of Architecture, Design and Urban Studies. Pontificia Universidad Católica de Chile, Santiago, Chile
j
Translational Genomics and Targeted Therapies in Solid Tumors Group, August Pi I Sunyer Biomedical Research Institute, Barcelona, Spain
k
Department of Medical Oncology, Hospital Clinic of Barcelona, Barcelona, Spain
l
Clínica Universidad de los Andes, Servicio de Kinesiología, Santiago, Chile
m
Unidad de patología mamaria, Complejo Asistencial Dr. Sótero del Río, Santiago, Chile
n
Laboratory of Exercise Physiology, Department of Physical Therapy, School of Health Sciences, Faculty of Medicine, Pontificia Universidad Católica de Chile, Santiago, Chile
o
Departamento Agencia Nacional de Prevención y Control del Cáncer, Subsecretaria de Salud Pública, Ministerio de Salud de Chile, Santiago, Chile</t>
  </si>
  <si>
    <t xml:space="preserve">https://doi.org/10.3390/cimb47080599 </t>
  </si>
  <si>
    <t>https://doi.org/10.3390/antiox14070759</t>
  </si>
  <si>
    <t>1Servicio de Cirugía, Unidad de Coloproctología, Complejo Asistencial Doctor Sótero Del Río, Santiago, Chile.
2Centro para la Prevención y el Control del Cáncer (CECAN), Santiago, Chile.
3Instituto de Ciencias e Innovación en Medicina, Facultad de Medicina Clínica Alemana Universidad del Desarrollo, Santiago, Chile.
4Escuela de Medicina. Pontificia Universidad Católica de Chile, Santiago, Chile.
5Departamento de Hematología y Oncología, Facultad de Medicina, Pontificia Universidad Católica de Chile, Santiago, Chile.</t>
  </si>
  <si>
    <t>https://doi.org/10.1016/j.lana.2025.101201</t>
  </si>
  <si>
    <t>1Department of Family and Community Medicine, Pontificia Universidad Catolica De Chile School of Medicine, Santiago, Chile kpuschel@uc.cl.
2Center for Cancer Prevention and Control (CECAN), Santiago, Chile.
3Department of Family and Community Medicine, Pontificia Universidad Catolica De Chile School of Medicine, Santiago, Chile.
4The University of Melbourne, Medical School, Melbourne, Victoria, Australia.
5Department of Oncology, Pontificia Universidad Catolica De Chile School of Medicine, Santiago, Chile.
6Universidad de los Andes, Santiago, Chile.
7Department of Surgical Oncology, Pontificia Universidad Catolica de Chile, School of Medicine, Santiago, Chile.
8Division of Surgical Oncology, University of Nebraska Medical Center, Omaha, Nebraska, USA.
9Fred Hutchinson Cancer Research Center, Seattle, Washington, USA.</t>
  </si>
  <si>
    <t>https://doi.org/10.1136/bmjopen-2024-097015</t>
  </si>
  <si>
    <t>1Laboratory of Chemical Carcinogenesis and Pharmacogenetics, Department of Basic-Clinical
Oncology (DOBC), Faculty of Medicine, University of Chile, Santiago, Chile, 2Latin American Network
for Implementation and Validation of Clinical Pharmacogenomics Guidelines (RELIVAF),
Santiago, Chile, 3Center for Cancer Prevention and Control (CECAN), Santiago, Chile, 4Clinical
Laboratory, Felix Bulnes Clinical Hospital, Santiago, Chile, 5Department of Basic Sciences, Faculty of
Sciences, University of Bío, Bío, Chile, 6Escuela de Medicina, Fundación Instituto Profesional Duoc
UC, Santiago, Chile, 7Department of Pharmaceutical Sciences and Technology, Faculty of Chemical and
Pharmaceutical Sciences, University of Chile, Santiago, Chile, 8Clinical Hospital of University of Chile,
Santiago, Chile, 9National Cancer Institute, Santiago, Chile, 10Biobank of Fluids and Tissues of the
University of Chile, Santiago, Chile, 11Faculty of Pharmacy, University of Costa Rica, San Jose, Costa Rica</t>
  </si>
  <si>
    <t xml:space="preserve">https://doi.org/10.3389/fonc.2025.1589724 </t>
  </si>
  <si>
    <t>1Statistical Genetics Research Group, Institute of Medical Biometry, Heidelberg University, Heidelberg, Germany
2Instituto Regional de Enfermedades Neopl�asicas, Arequipa, Peru
3Departamento de Medicina Oncol�ogica, Instituto Nacional de Enfermedades Neopl�asicas, Lima, Peru
4Departamento de Cirug�ıa, Universidad de la Frontera, Temuco, Chile
5Instituto de Investigaciones Biom�edicas (IIBISMED), Facultad de Medicina, Universidad Mayor de San Sim�on, Cochabamba, Bolivia
6Facultad de Medicina, Universidad Cat�olica del Maule, Talca, Chile
7Servicio de Anatomia Patologica, Hospital Regional de Talca, Talca, Chile
8Hospital de Puerto Montt, Los Lagos, Puerto Montt, Chile
9Hospital Clinico Regional Concepci�on, Concepci�on, Chile
10Hospital Juan No�e Crevani, Arica, Chile
11Center for Cancer Prevention and Control (CECAN), Chile
12Servicio de Anatomia Patologica, Pontificia Universidad Catolica de Chile, Santiago, Chile
13Hospital Pablo Soria, San Salvador de Jujuy, Argentina
14Department of Anatomy Pathology, Faculty of Medicine, Universidad de Chile, Santiago, Chile
15Pathological Anatomy Service, Clinical Hospital of the University of Chile, Santiago, Chile
16Departamento de Oncolog�ıa B�asico Cl�ınica, Facultad de Medicina, Universidad de Chile, Santiago, Chile
17University Hospital Mannheim, Medicial Faculty Mannheim, Heidelberg University, Mannheim, Germany
18Centre for Bioinformatics, Department of Pharmacy, University of Oslo, Oslo, Norway
19Department of Research, Cancer Registry of Norway, Oslo, Norway
20Department of Population Health Sciences, University of Bristol, Bristol, United Kingdom
21ILOGI (Latin-American Gastrointestinal Oncology Intergroup), San Salvador de Jujuy, Argentina
22Centro de Gen�etica y Gen�omica, Instituto de Ciencias e Innovaci�on en Medicina, Facultad de Medicina Cl�ınica Alemana Universidad del
Desarrollo, Santiago, Chile
23Departamento de Hematolog�ıa y Oncolog�ıa, Pontificia Universidad Cat�olica De Chile, Santiago, Chile
24Chilean Cooperative Group for Oncological Research (GOCCHI), Santiago, Chile
25Fundaci�on GIST Chile, Santiago, Chile
26Instituto de Alta Investigaci�on, Universidad de Tarapac�a, Arica, Chile
27Channing Division of Network Medicine, Brigham and Women’s Hospital and Harvard Medical School, Boston, USA
28Nutrition and Metabolism Branch, International Agency for Research on Cancer (IARC-WHO), Lyon, France
29Laboratory of Biostatistics for Precision Oncology, Institut de canc�erologie Strasbourg Europe, Strasbourg, France</t>
  </si>
  <si>
    <t xml:space="preserve">https://doi.org/10.1093/ije/dyaf127 </t>
  </si>
  <si>
    <t>Int Journal of Epidemiology</t>
  </si>
  <si>
    <t xml:space="preserve">https://doi.org/10.1038/s41416-025-02979-6 </t>
  </si>
  <si>
    <t>1Department of Medical Oncology, Amsterdam University Medical Center (UMC) location Vrije Universiteit Amsterdam, Amsterdam, Netherlands. 2Cancer Biology and
Immunology, Cancer Center Amsterdam, Amsterdam, Netherlands. 3Oncode Institute, Amsterdam, Netherlands. 4Department of Medical Oncology, Hospital Clinico
Universitario, INCLIVA, Biomedical Research Institute, University of Valencia, Valencia, Spain. 5i3S - Instituto de Investigação e Inovação em Saúde, Universidade do Porto,
Porto, Portugal. 6Ipatimup - Institute of Molecular Pathology and Immunology of the University of Porto, Porto, Portugal. 7Pathology Department. Hospital Clínico
Universitario de Valencia, INCLIVA, Valencia, Spain. 8Faculty of Medicine of the University of Porto, Porto, Portugal. 9Department of Pathology, Unidade Local de Saúde São
João, Porto, Portugal. 10Department of Gastroenterology, Unidade Local de Saúde São João, Porto, Portugal. 11Department of Oncology, Unidade Local de Saúde São João,
Porto, Portugal. 12Núcleo B de Innovación en Medicina de Precisión, Instituto Nacional de Medicina Genómica, Ciudad de, México, México. 13Head of Division. Surgical
Pathology, National Cancer Institute (INCan), Mexico City, Mexico. 14Department of Gastrointestinal Endoscopy, Instituto Nacional de Cancerología, Mexico City, Mexico.
15Departamento de Tumores de Tubo Digestivo, Instituto Nacional de Cancerología, Ciudad de, México, México. 16Laboratorio de Medicina Traslacional, Instituto Nacional de
Cancerología, Ciudad de México, México. 17Department of Pathology, GENPAT, Asunción, Paraguay. 18Medical Oncology Department, Instituto de Previsión Social, Asunción,
Paraguay. 19Department of Gastroenterology, Instituto de Previsión Social, Asunción, Paraguay. 20Medical Oncology Department, Instituto Alexander Fleming, Buenos Aires,
Argentina. 21Department of Gastroenterology, Faculty of Medicine. Pontificia Universidad Catolica de Chile. Center for Prevention and Control of Cancer (CECAN), Santiago,
Chile. 22Faculty of Biological Sciences &amp; Faculty of Medicine. Pontificia Universidad Católica de Chile, Millennium Institute for Immunology and Immunotherapy, Center for
Prevention and Control of Cancer (CECAN), Advance Center for Chronic Disease (ACCDIS), Santiago, Chile. 23Department of Respiratory Diseases, Faculty of Medicine.
Pontificia Universidad Católica de Chile, Santiago, Chile. 24Department of Pathology, Faculty of Medicine. Pontificia Universidad Católica de Chile, Santiago, Chile.
25Department of Gastroenterology, Faculty of Medicine. Pontificia Universidad Catolica de Chile, Santiago, Chile. 26Facultad de Ciencia de la Salud, Centro de Oncología de
Precision, Universidad Mayor, Huechuraba, Chile. 27Oncology Data Science, Vall d’Hebron Institute of Oncology, Barcelona, Spain. 28Medical Oncology Department, Vall
d’Hebron Institute of Oncology, Barcelona, Spain. 29Hospital Universitario de Navarra, Navarrabiomed-IdiSNA, Pamplona, Spain. 30Department of Medicine (Oncology,
Gastroenterology, Hepatology, and Pulmonology), University of Leipzig Medical Center, Comprehensive Cancer Center Central Germany (CCCG), Leipzig, Germany.
31Anaxomics Biotech, S.L., Barcelona, Spain. 32Department of Bioestatistics, INCLIVA Biomedical Research Institute, Valencia, Spain. 33Department of Gastroenterology,
Hospital Clínico Universitario de Valencia, Valencia, Spain. 34Gastroenterology Department. Amsterdam UMC, Amsterdam, The Netherlands. 35CiberOnc. Carlos III Institute,
Madrid, Spain.</t>
  </si>
  <si>
    <t>1Laboratorio de Terapia Molecular y Celular, Fundaci´on Instituto Leloir-CONICET,
Ciudad de Buenos Aires, Argentina. 2Universidad Argentina de la Empresa (UADE),
Instituto de Tecnolog´ıa (INTEC), Buenos Aires, Argentina. 3Universidad Nacional
de C´ordoba, Facultad de Ciencias Exactas, F´ısicas y Naturales, C´ordoba, Argentina.
4Programa de Gen´etica Humana, ICBM, Facultad de Medicina, Universidad de Chile,
Santiago, Chile. 5Instituto Nacional de Cˆancer, Rio de Janeiro, Brazil. 6Genome Center,
College of Biological Sciences, University of California Davis, Davis, California. 7Department
of Public Health Sciences, University of California, Davis, Davis, California.
8Hospital de Clinicas Manuel Quintela, Universidad de la Rep´ublica, Montevideo,
Uruguay. 9Universidad de Sonora, Hermosillo, Mexico. 10Universidad de Guadalajara,
Guadalajara, Mexico. 11Integrative Biology Program, Instituto de Ciencias Biomedicas
(ICBM), Centro de Inform´atica M´adica y Telemedicina, Facultad de Medicina, Universidad
de Chile, Santiago, Chile. 12Departamento de Oncolog´ıa B´asico Cl´ınico and
Centro para la Prevenci´on y el Control del C´ancer (CeCAN), Facultad de Medicina,
Universidad de Chile, Santiago, Chile. 13Instituto de Cancer de São Paulo, São Paulo,
Brazil. 14AC Camargo Cancer Center, São Paulo, Brazil. 15Hospital de Cancer de Barretos,
Barretos, Brazil. 16Health Sciences Center, Texas A&amp;M University, Bryan,
Texas. 17Instituto Nacional del C´ancer, Santiago de Chile, Chile. 18Grupo
Oncol´ogico Cooperativo Chileno de Investigaci´on, Santiago de Chile, Chile.
19Fundaci´on para el Progreso de la Medicina, ScireLab, C´ordoba, Argentina.
20CONICET, C´ordoba, Argentina. 21FCEFyN, Depto. de Computaci´on, Escuela de
Ingenier´ıa Biom´edica, Universidad Nacional de C´ordoba, C´ordoba, Argentina. 22The
list of LACRN Investigators with their affiliations is included at the end of the Supplementary
Information. 23Department of Public Health Sciences, School of Medicine,
University of California Davis, Davis, California. 24University of California Davis Comprehensive
Cancer Center, School of Medicine, University of California Davis, Davis,
California.</t>
  </si>
  <si>
    <t xml:space="preserve">https://doi.org/10.1158/2767-9764.CRC-25-0014 </t>
  </si>
  <si>
    <t>1Oncology Data Science, Vall d_x0001_Hebron Institute of Oncology, Barcelona, Spain; 2OC Precision Medicine, Oncoclínicas &amp; Co, São Paulo, Brazil; 3University of VicdCentral
University of Catalonia, Barcelona, Spain; 4Departamento de Tumores de Tubo Digestivo, Instituto Nacional de Cancerología, Mexico City; 5Laboratorio de Medicina
Traslacional, Instituto Nacional de Cancerología, Mexico City, Mexico; 6Medical Oncology Department, Vall d`Hebron Institute of Oncology, Barcelona; 7Hospital
Universitario de Navarra, Navarrabiomed-IdiSNA, Pamplona, Spain; 8Department of Medical Oncology, Amsterdam University Medical Center (UMC), location Vrije
Universiteit Amsterdam, Amsterdam, The Netherlands; 9Department of Pathology, Hospital Clínico Universitario de Valencia, Valencia, Spain; 10Núcleo B de Innovación
en Medicina de Precisión, Instituto Nacional de Medicina Genómica, Mexico City; Departments of 11Pathology; 12Medical Oncology, Instituto Nacional de Cancerología,
Mexico City; 13Head of Division, Surgical Pathology, National Cancer Institute (INCan), Mexico City; 14Department of Gastrointestinal Endoscopy, Instituto Nacional de
Cancerología, Mexico City; 15Departamento de Gastroenterología, Instituto Nacional de Cancerología, Mexico City, Mexico; 16Department of Gastroenterology and
Hepatology, Amsterdam University Medical Center (UMC), location Vrije Universiteit Amsterdam, Amsterdam, The Netherlands; 17Department of Medical Oncology,
Hospital Clinico Universitario, INCLIVA, Biomedical Research Institute, University of Valencia, Valencia; 18Department of Gastroenterology, Hospital Clínico Universitario
de Valencia, Valencia; 19Department of Pathology, Hospital General de Valdepeñas, Valdepeñas, Spain; 20Department of Pathology, GENPAT, Asunción; Departments of
21Medical Oncology; 22Pathology; 23Gastroenterology, Instituto de Previsión Social, Asunción, Paraguay; 24Cancer Genomics Lab, Vall d`Hebron Institute of Oncology,
Barcelona, Spain; 25IPATIMUPdInstitute of Molecular Pathology and Immunology of the University of Porto, Porto; 26i3SdInstituto de Investigação e Inovação em
Saúde, Universidade do Porto, Porto; 27Faculty of Medicine of the University of Porto, Porto; Departments of 28Pathology; 29Gastroenterology; 30Oncology, Unidade
Local de Saúde São João, Porto, Portugal; Departments of 31Respiratory Diseases; 32Pathology; 33Gastroenterology, Faculty of Medicine, Pontificia Universidad Católica
de Chile, Santiago, Chile; 34Medical Oncology Department, Instituto Alexander Fleming, Buenos Aires; 35Department of Gastroenterology, Instituto Alexander Fleming,
GEDYT (Gastroenterologia diagnostica y terapeutica), Buenos Aires, Argentina; 36Department of Gastroenterology, Faculty of Medicine, Pontificia Universidad Católica
de Chile, Center for Prevention and Control of Cancer (CECAN), Santiago; 37Faculty of Biological Sciences &amp; Faculty of Medicine, Pontificia Universidad Católica de
Chile, Millennium Institute for Immunology and Immunotherapy, Center for Prevention and Control of Cancer (CECAN), Advance Center for Chronic Disease (ACCDIS),
Santiago; 38Facultad de Medicina y Ciencia de la Salud, Centro de Oncología de Precision, Universidad Mayor, Santiago, Chile; 39Department of Oncology and
University Cancer Center Leipzig, University of Leipzig Medical Center, Leipzig, Germany; 40Anaxomics Biotech S.L., Barcelona; 41Ciberonc, Instituto Carlos III, Madrid,
Spain</t>
  </si>
  <si>
    <t>a Departamento de Oncología B´asico Clínico, Facultad de Medicina, Universidad de Chile, Santiago, Chile
b Centro para la prevenci´on y el control del C´ancer (CECAN), Facultad de Medicina, Universidad de Chile, Santiago, Chile
c Centro de Gen´etica y Gen´omica, Instituto de Ciencias e Innovaci´on en Medicina, Facultad de Medicina, Clínica Alemana Universidad del Desarrollo, Santiago, Chile
d Center for Translational Studies in Stress and Mental Health (C-ESTRES), Universidad de Valparaíso, Valparaíso, Chile
e Institute of Biomedical Sciences, Faculty of Medicine, Universidad Andr´es Bello
f Millennium Nucleus of Neuroepigenetics and Plasticity
g Center for Biomedical Research, Faculty of Medicine, Universidad Andr´es Bello, Santiago, Chile
h FONDAP Center for Genome Regulation, Faculty of Biological Sciences, Universidad Andr´es Bello, Santiago, Chile
i Current Address: Science for Life Laboratory, Department of Microbiology, Tumor and Cell Biology, Karolinska Institutet, 171 65 Solna, Sweden
j Current Address: Laboratorio de Inmunoepigen´etica. Instituto de Bioquímica y Microbiología, Facultad de Ciencias, Universidad Austral de Chile, Valdivia, Chile
A</t>
  </si>
  <si>
    <t>Gallbladder Cancer and Dysplasia in Cholecystectomy Specimens: A Large Study in High-Incidence Regions of South America</t>
  </si>
  <si>
    <t>1Statistical Genetics Research Group, Institute of Medical Biometry, Heidelberg University, Heidelberg, Germany; 2Departamentos de Patología y Cirugía, Facultad de Medicina, Universidad Católica del Maule, Talca, Chile; 3Servicios de Anatomía Patológica y Cirugía Abdominal, Hospital Regional de Talca, Talca, Chile; 4Department of Anatomy Pathology, Faculty of Medicine, Universidad de Chile, Santiago, Chile; 5Pathological Anatomy Service, Clinical Hospital of the University of Chile, Santiago, Chile; 6Department of Basic and Clinical Oncology, Faculty of Medicine, University of Chile, Santiago, Chile; 7Center for Cancer Prevention and Control, Santiago, Chile; 8Department of Surgery, Clinical Hospital of the University of Chile, Santiago, Chile; 9Escuela de Tecnología Médica, Sede Puerto Montt, Universidad Austral de Chile, Puerto Montt, Chile; 10Departamento de Cirugía, Hospital de Rancagua, Rancagua, Chile; 11Servicio de Oncología, Hospital Pablo Soria, San Salvador de Jujuy, Argentina; 12Latin-American Gastrointestinal Oncology Intergroup, San Salvador de Jujuy, Argentina; 13Servicio de Anatomía Patológica, Hospital Clínico Regional Concepción, Concepción, Chile; 14Departamento de Cirugía, Traumatología y Anestesiología, Universidad de la Frontera, Temuco, Chile; 15Departamento de Hematología y Oncología, Escuela de Medicina, Pontificia Universidad Católica de Chile, Santiago, Chile; 16Departamento de Cirugía, Instituto Regional de Enfermedades Neoplásicas, Arequipa, Peru; 17Departamento de Oncología Médica, Instituto Nacional de Enfermedades Neoplásicas, Lima, Peru; 18Instituto de Investigaciones Biomédicas, Facultad de Medicina, Universidad Mayor de San Simón, Cochabamba, Bolivia; 19Departamento de Cirugía, Caja Nacional de Salud Hospital Obrero 2, Cochabamba, Bolivia; 20Servicio de Anatomía Patológica, Hospital Juan Noé Crevani, Arica, Chile; 21Instituto de Alta Investigación, Tarapacá University, Arica, Chile; and 22Laboratory of Biostatistics for Precision Oncology, Institut de Cancérologie Strasbourg Europe, Strasbourg, France</t>
  </si>
  <si>
    <t>Clinical Gastroenterology and Hepatology</t>
  </si>
  <si>
    <t xml:space="preserve"> https://doi.org/10.1016/j.cgh.2024.12.027  </t>
  </si>
  <si>
    <t>Early-Onset Colorectal Cancer: From Genetic Discovery to Clinical Innovation</t>
  </si>
  <si>
    <t xml:space="preserve">
1Division of Hematology/Oncology, Indiana University Simon Comprehensive Cancer Center, Indianapolis, IN.
2Department of Hematology and Oncology, School of Medicine, Pontificia Universidad Católica de Chile, Red de Salud UC Christus, Cancer Institute, Santiago, Chile.
3Center for Cancer Prevention and Control, CECAN, School of Medicine, Pontificia Universidad Católica de Chile, Santiago, Chile.
4Vanderbilt University School of Medicine, Nashville, TN.
5Division of Hematology/Oncology, Department of Medicine, Vanderbilt University Medical Center, Nashville, TN.
6Vanderbilt-Ingram Cancer Center, Nashville, TN.
7University of Utah School of Medicine, Salt Lake City, UT.</t>
  </si>
  <si>
    <r>
      <t xml:space="preserve">Anita Turk 1, Sebastián Mondaca 2 3, </t>
    </r>
    <r>
      <rPr>
        <b/>
        <sz val="11"/>
        <color theme="1"/>
        <rFont val="Calibri"/>
        <family val="2"/>
        <scheme val="minor"/>
      </rPr>
      <t>Bruno Nervi</t>
    </r>
    <r>
      <rPr>
        <sz val="11"/>
        <color theme="1"/>
        <rFont val="Calibri"/>
        <family val="2"/>
        <scheme val="minor"/>
      </rPr>
      <t xml:space="preserve"> 2 3 4, Allison D Morris 5, Zoe Finer 6, Andreana N Holowatyj 5 6 7</t>
    </r>
  </si>
  <si>
    <t>Am Soc Clin Oncol Educ Book</t>
  </si>
  <si>
    <t>https://doi.org/10.1200/EDBK-25-473618</t>
  </si>
  <si>
    <t>Arsenic in drinking water and breast cancer: a case-control study from a high exposure area in Northern Chile</t>
  </si>
  <si>
    <t>1College UC, Pontificia Universidad Católica de Chile, Santiago, Chile.
2Escuela de Salud Pública, Pontificia Universidad Católica de Chile, Santiago, Chile.
3Centro de Epidemiología y Políticas de Salud, Facultad de Medicina Clínica Alemana, Universidad del Desarrollo, Santiago, Chile.
4Centro Para La Prevención y Control del Cáncer (CECAN), Santiago, Chile.
5Department of Pathology, Hospital Juan Noé, Arica, Chile.
6Department of Pathology, Hospital Ernesto Torres Galdames de Iquique, Iquique, Chile.
7Department of Pathology, Hospital Carlos Cisternas de Calama, Calama, Chile.
8Department of Pathology, Facultad de Medicina, Pontificia Universidad Católica de Chile, Santiago, Chile.
9Department of Pathology, Hospital Leonardo Guzmán de Antofagasta, Antofagasta, Chile.
10Office of Environmental Health Hazard Assessment, California Environmental Protection Agency, Oakland, CA, USA.
11Arsenic Research Group, School of Public Health, University of California, Berkeley, CA, USA.
12Escuela de Salud Pública, Pontificia Universidad Católica de Chile, Santiago, Chile. cferreccio@ispch.cl.
13Instituto de Salud Pública de Chile, Marathón 1000, Ñuñoa Santiago, Chile. cferreccio@ispch.c</t>
  </si>
  <si>
    <t>Breast Cancer Res Treat</t>
  </si>
  <si>
    <t xml:space="preserve">https://doi.org/10.1007/s10549-025-07765-9 </t>
  </si>
  <si>
    <t>Paula Repetto</t>
  </si>
  <si>
    <t>Gareth Owen</t>
  </si>
  <si>
    <t>Báltica Cabieses</t>
  </si>
  <si>
    <t>Jaime González</t>
  </si>
  <si>
    <t>M. Teresa Muñoz</t>
  </si>
  <si>
    <t>Lorena Rodriguez</t>
  </si>
  <si>
    <t>Carla Campaña</t>
  </si>
  <si>
    <t>Antonia Roberts</t>
  </si>
  <si>
    <t>Caracterización de la demanda expresada y efectiva de servicios oncológicos del régimen de Garantías Explícitas de Salud en el sistema de salud público de Chile</t>
  </si>
  <si>
    <t xml:space="preserve"> http://doi.org/10.5867/medwave.2025.07.3070 </t>
  </si>
  <si>
    <t>Galectin-9 and Tim-3 in gastric cancer: a checkpoint axis driving T cell exhaustion and Tregmediated immunosuppression independently of anti-PD-1 blockade</t>
  </si>
  <si>
    <t>1Facultad de Ciencias Biologicas, Pontificia Universidad Catolica de Chile, Santiago de Chile, Chile, 2Millenium Institute for Immunology and Immunotherapy, Santiago de Chile, Chile, 3Laboratorio de Inmunologıa, Centro de Investigacion e Innovacion Biomedica, Facultad de Medicina, Universidad de los Andes, Santiago de Chile, Chile, 4Center of Interventional Medicine for Precision and Advanced Cellular Therapy (IMPACT), Santiago, Chile, 5Escuela de Ingenierıa Bioquımica, Pontificia Universidad Catolica de Valparaıso, Valparaıso, Chile</t>
  </si>
  <si>
    <t xml:space="preserve">http://doi.org/10.3389/fimmu.2025.1600792 </t>
  </si>
  <si>
    <t>D-dimer as a predictive biomarker for cancer-associated thrombosis: A prospective cohort study</t>
  </si>
  <si>
    <t>a Department of Internal Medicine, School of Medicine, Pontificia
Universidad Cat´olica de Chile, Santiago, Chile
b Department of Hematology and Oncology, School of Medicine, Pontificia
Universidad Cat´olica de Chile, Santiago, Chile
c Department of Public Health, School of Medicine, Pontificia Universidad
Cat´olica de Chile, Santiago, Chile
d Center for Cancer Prevention and Control (FONDAP-CECAN), Pontificia
Universidad Cat´olica de Chile, Santiago, Chile
e Red de Salud UC CHRISTUS, Santiago, Chile</t>
  </si>
  <si>
    <t>Thrombosis Research</t>
  </si>
  <si>
    <t xml:space="preserve">https://doi.org/10.1016/j.thromres.2025.109448 </t>
  </si>
  <si>
    <t>1Escuela de Salud Pública, Facultad de Medicina, Pontificia Universidad Católica de Chile, Santiago, Chile.
2IRyS Group, Physical Education School, Pontificia Universidad Católica de Valparaíso, Valparaíso, Chile.
3Departamento de Medicina Familiar, Escuela de Medicina, Pontificia Universidad Católica de Chile, Santiago, Chile.
4Unidad de Gestión de Informática, Ancora UC, Santiago, Chile.
5Center for Cancer Prevention and Control, Fondap 152220002, Faculty of Medicine, Pontificia Universidad Católica de Chile, Santiago, Chile.
6Departamento de Estadística, Análisis y Gestión de la Información en Salud, Servicio de Salud Metropolitano Sur-Oriente, Santiago, Chile.
7School of Computing and Information Systems, University of Melbourne, Melbourne, Australia.
8Advanced Center for Chronic Diseases, Fondap 151300, Faculty of Medicine, Pontificia Universidad Católica de Chile, Santiago, Chile.</t>
  </si>
  <si>
    <t>PLOS One</t>
  </si>
  <si>
    <t xml:space="preserve">https://doi.org/10.1371/journal.pone.0314376 </t>
  </si>
  <si>
    <t xml:space="preserve">Use of GuidelineRecommended Heart Failure Drugs in High-, Middle-, and Low-Income Countries: A Systematic Review and Meta-Analysis. </t>
  </si>
  <si>
    <t>British Journal of Cancer</t>
  </si>
  <si>
    <r>
      <t xml:space="preserve">Daniela Alves da Quinta1,2, Dar ío Rocha3, Cristian Ýañez4, Renata Binato5, Sheila Coelho Soares-Lima5, Xiaosong Huang6, Daiana Ganiewich1, Valentina A.Zavala7, Monica Sans8, Alejandra Lopez-Vazquez9, Jael Quintero9, Olivia Valenzuela9, Antonio Quintero-Ramos10, Alicia Del Toro-Arreola10, Mauricio Cerda11
</t>
    </r>
    <r>
      <rPr>
        <b/>
        <sz val="8"/>
        <color theme="1"/>
        <rFont val="Calibri"/>
        <family val="2"/>
        <scheme val="minor"/>
      </rPr>
      <t>Katherine Marcelain</t>
    </r>
    <r>
      <rPr>
        <sz val="8"/>
        <color theme="1"/>
        <rFont val="Calibri"/>
        <family val="2"/>
        <scheme val="minor"/>
      </rPr>
      <t>12, Susanne Crocamo5, Maria Aparecida Nagai13, Dirce M. Carraro14, Marcia Maria Chiquitelli Marques15, Jorge Go ́mez16, Nora Artagaveytia8, Adrian Daneri-Navarro10, Bettina G. Mu ̈ller17, Javier Retamales18, Carlos Velazquez9, Elmer A. Fern ́andez19,20,21, Osvaldo L. Podhajcer1, Eliana Abdelhay5, Ricardo A. Verdugo4,12; the LACRN Investigators22, Andrea S. Llera1, and Laura Fejerman5,23,24</t>
    </r>
  </si>
  <si>
    <t>Current Therapeutic Research</t>
  </si>
  <si>
    <t>ESMO Open</t>
  </si>
  <si>
    <t>Factor de impacto (2024)</t>
  </si>
  <si>
    <t>WOS Q1-Q4 (2024)</t>
  </si>
  <si>
    <t>Int.J.Molecular Sciences</t>
  </si>
  <si>
    <t>Antoxidants</t>
  </si>
  <si>
    <t>Neoplasia</t>
  </si>
  <si>
    <t>Palliative and Supportive Care</t>
  </si>
  <si>
    <t>Humanities and Social Sciences Communications</t>
  </si>
  <si>
    <t>Lancet Regional Health Americas</t>
  </si>
  <si>
    <t>Global Heart</t>
  </si>
  <si>
    <r>
      <t xml:space="preserve"> 2-</t>
    </r>
    <r>
      <rPr>
        <b/>
        <sz val="11"/>
        <color theme="1"/>
        <rFont val="Calibri"/>
        <family val="2"/>
        <scheme val="minor"/>
      </rPr>
      <t>3</t>
    </r>
  </si>
  <si>
    <r>
      <rPr>
        <b/>
        <sz val="11"/>
        <color theme="1"/>
        <rFont val="Calibri"/>
        <family val="2"/>
        <scheme val="minor"/>
      </rPr>
      <t xml:space="preserve"> 2</t>
    </r>
    <r>
      <rPr>
        <sz val="11"/>
        <color theme="1"/>
        <rFont val="Calibri"/>
        <family val="2"/>
        <scheme val="minor"/>
      </rPr>
      <t>-3</t>
    </r>
  </si>
  <si>
    <r>
      <t xml:space="preserve"> </t>
    </r>
    <r>
      <rPr>
        <b/>
        <sz val="11"/>
        <color theme="1"/>
        <rFont val="Calibri"/>
        <family val="2"/>
        <scheme val="minor"/>
      </rPr>
      <t>5</t>
    </r>
    <r>
      <rPr>
        <sz val="11"/>
        <color theme="1"/>
        <rFont val="Calibri"/>
        <family val="2"/>
        <scheme val="minor"/>
      </rPr>
      <t>-2</t>
    </r>
  </si>
  <si>
    <r>
      <rPr>
        <b/>
        <sz val="11"/>
        <color theme="1"/>
        <rFont val="Calibri"/>
        <family val="2"/>
        <scheme val="minor"/>
      </rPr>
      <t xml:space="preserve"> 4</t>
    </r>
    <r>
      <rPr>
        <sz val="11"/>
        <color theme="1"/>
        <rFont val="Calibri"/>
        <family val="2"/>
        <scheme val="minor"/>
      </rPr>
      <t>-2</t>
    </r>
  </si>
  <si>
    <t>Value in Health Reg Issues</t>
  </si>
  <si>
    <r>
      <t xml:space="preserve">Felix Boekstegers, Carol Barahona Ponce, Erik Morales, Cesar Muñoz-Castro, Cristian Lindner, Ivan Schneider Lira, Belarmino Manques, </t>
    </r>
    <r>
      <rPr>
        <b/>
        <sz val="8"/>
        <color theme="1"/>
        <rFont val="Calibri"/>
        <family val="2"/>
        <scheme val="minor"/>
      </rPr>
      <t>Alicia Colombo Flores</t>
    </r>
    <r>
      <rPr>
        <sz val="8"/>
        <color theme="1"/>
        <rFont val="Calibri"/>
        <family val="2"/>
        <scheme val="minor"/>
      </rPr>
      <t xml:space="preserve">, Catalina Valenzuela, Jaime Castillo, Gonzalo de Toro, Mauricio Almau, Cristina Inklemona, Carolina Ituarte, Gerardo F. Arroyo, Loreto Spencer, Hector Losada, </t>
    </r>
    <r>
      <rPr>
        <b/>
        <sz val="8"/>
        <color theme="1"/>
        <rFont val="Calibri"/>
        <family val="2"/>
        <scheme val="minor"/>
      </rPr>
      <t xml:space="preserve">Juan Carlos Araya, Bruno Nervi, </t>
    </r>
    <r>
      <rPr>
        <sz val="8"/>
        <color theme="1"/>
        <rFont val="Calibri"/>
        <family val="2"/>
        <scheme val="minor"/>
      </rPr>
      <t xml:space="preserve">Claudio Mengoa Quintanilla, Paola Montenegro, Ana Lineth Garcia, Sidney Rojas Orellana, Alejandro Ortega, Francisco Rothhammer and </t>
    </r>
    <r>
      <rPr>
        <b/>
        <sz val="8"/>
        <color theme="1"/>
        <rFont val="Calibri"/>
        <family val="2"/>
        <scheme val="minor"/>
      </rPr>
      <t>Justo Lorenzo Bermejo</t>
    </r>
  </si>
  <si>
    <t>PRESUPUESTO UC</t>
  </si>
  <si>
    <t>Monto pagado</t>
  </si>
  <si>
    <t>PUBLICACIONES FINANCIADAS 2025</t>
  </si>
  <si>
    <t>8 publicaciones financiadas (Fdos. 2024)</t>
  </si>
  <si>
    <t>Presupuesto asignado 2025</t>
  </si>
  <si>
    <t>SALDO POR GASTAR</t>
  </si>
  <si>
    <t xml:space="preserve">Solicitudes </t>
  </si>
  <si>
    <t>8 financiadas (100%)    1 financiadas (50%)</t>
  </si>
  <si>
    <r>
      <t xml:space="preserve">Úrsula Figueroa,1,* Cristián Jarry,1,* Martin Inzunza,1 Isabella Montero,1 Francisco Garrido,2 Ignacio Villagrán,3 Francisca Belmar,1 Gabriel Escalona,1 </t>
    </r>
    <r>
      <rPr>
        <b/>
        <sz val="8"/>
        <color theme="1"/>
        <rFont val="Calibri"/>
        <family val="2"/>
        <scheme val="minor"/>
      </rPr>
      <t>Arnoldo Riquelme</t>
    </r>
    <r>
      <rPr>
        <sz val="8"/>
        <color theme="1"/>
        <rFont val="Calibri"/>
        <family val="2"/>
        <scheme val="minor"/>
      </rPr>
      <t>,4,5 and Julián Varas</t>
    </r>
  </si>
  <si>
    <r>
      <t xml:space="preserve">Víctor Pola-V´ eliza,e,f,g,h , David Carreroa, Eduardo A. Sagredoa,i , Víctor Inostrozaa ,  Claudio Cappellia,j , Solange Rivasa, Mirit Bitr´ ana, </t>
    </r>
    <r>
      <rPr>
        <b/>
        <sz val="8"/>
        <color theme="1"/>
        <rFont val="Calibri"/>
        <family val="2"/>
        <scheme val="minor"/>
      </rPr>
      <t>Evelyn Zambrano</t>
    </r>
    <r>
      <rPr>
        <sz val="8"/>
        <color theme="1"/>
        <rFont val="Calibri"/>
        <family val="2"/>
        <scheme val="minor"/>
      </rPr>
      <t xml:space="preserve">a,b , Evelin Gonzalezc ,  Fernanda Moralesa,b , Marcia Manterolaa,d , Martín Montecinoe,f,g,h, Ricardo Armis´ enc ,  </t>
    </r>
    <r>
      <rPr>
        <b/>
        <sz val="8"/>
        <color theme="1"/>
        <rFont val="Calibri"/>
        <family val="2"/>
        <scheme val="minor"/>
      </rPr>
      <t>Katherine Marcelain</t>
    </r>
    <r>
      <rPr>
        <sz val="8"/>
        <color theme="1"/>
        <rFont val="Calibri"/>
        <family val="2"/>
        <scheme val="minor"/>
      </rPr>
      <t>a,b,*</t>
    </r>
  </si>
  <si>
    <r>
      <t>Douglas R. Morgan, MD, MPH, FACG1, Juan E. Corral, MD,MPH2, Dan Li,MD3,4, Elizabeth A. Montgomery,MD5,</t>
    </r>
    <r>
      <rPr>
        <b/>
        <sz val="8"/>
        <color theme="1"/>
        <rFont val="Calibri"/>
        <family val="2"/>
        <scheme val="minor"/>
      </rPr>
      <t xml:space="preserve"> Arnoldo Riquelme</t>
    </r>
    <r>
      <rPr>
        <sz val="8"/>
        <color theme="1"/>
        <rFont val="Calibri"/>
        <family val="2"/>
        <scheme val="minor"/>
      </rPr>
      <t>,MD6, John J. Kim, MD, FACG7, Bryan Sauer, MD, MSc, FACG8 and Shailja C. Shah, MD, MPH9,10</t>
    </r>
  </si>
  <si>
    <r>
      <rPr>
        <b/>
        <sz val="8"/>
        <color theme="1"/>
        <rFont val="Calibri"/>
        <family val="2"/>
        <scheme val="minor"/>
      </rPr>
      <t>Felipe F. Quezada-Diaz</t>
    </r>
    <r>
      <rPr>
        <sz val="8"/>
        <color theme="1"/>
        <rFont val="Calibri"/>
        <family val="2"/>
        <scheme val="minor"/>
      </rPr>
      <t xml:space="preserve"> MD 1-3, </t>
    </r>
    <r>
      <rPr>
        <b/>
        <sz val="8"/>
        <color theme="1"/>
        <rFont val="Calibri"/>
        <family val="2"/>
        <scheme val="minor"/>
      </rPr>
      <t>Johanna Acevedo</t>
    </r>
    <r>
      <rPr>
        <sz val="8"/>
        <color theme="1"/>
        <rFont val="Calibri"/>
        <family val="2"/>
        <scheme val="minor"/>
      </rPr>
      <t xml:space="preserve">, MSc2-3, Maite González, MSc 2, Andrea Tello 1, Richard CastilloMD 1, Carlos Morales Mora MD1, Erik Manríquez Alegría MD 1, Valentina Duran Espinoza MD, MSc4, Felipe Mena MD1, Catherine Le- Bert 1, Manuel Cabreras MD 1, Ángelo Fulle MD1, Gonzalo Carvajal MD1, Pamela Briones MD1, </t>
    </r>
    <r>
      <rPr>
        <b/>
        <sz val="8"/>
        <color theme="1"/>
        <rFont val="Calibri"/>
        <family val="2"/>
        <scheme val="minor"/>
      </rPr>
      <t>Bruno Nerv</t>
    </r>
    <r>
      <rPr>
        <sz val="8"/>
        <color theme="1"/>
        <rFont val="Calibri"/>
        <family val="2"/>
        <scheme val="minor"/>
      </rPr>
      <t>i MD3.4, Rodrigo Kusanovich MD 1.</t>
    </r>
  </si>
  <si>
    <r>
      <t xml:space="preserve">Charlotte N. Hill1,2,3,4, Gabriela Maita1,2,3, Camille Cabrolier1,2,3, Constanza Aros3,4, Ana Maria Vega-Letter5, Pamela Gonzalez1,2, Alexis M. Kalergis1,2, Patricia Luz-Crawford2,3,4*and </t>
    </r>
    <r>
      <rPr>
        <b/>
        <sz val="8"/>
        <color theme="1"/>
        <rFont val="Calibri"/>
        <family val="2"/>
        <scheme val="minor"/>
      </rPr>
      <t>Gareth I. Owen</t>
    </r>
    <r>
      <rPr>
        <sz val="8"/>
        <color theme="1"/>
        <rFont val="Calibri"/>
        <family val="2"/>
        <scheme val="minor"/>
      </rPr>
      <t>1,2</t>
    </r>
  </si>
  <si>
    <r>
      <rPr>
        <b/>
        <sz val="8"/>
        <color theme="1"/>
        <rFont val="Calibri"/>
        <family val="2"/>
        <scheme val="minor"/>
      </rPr>
      <t>Guillermo Valenzuela</t>
    </r>
    <r>
      <rPr>
        <sz val="8"/>
        <color theme="1"/>
        <rFont val="Calibri"/>
        <family val="2"/>
        <scheme val="minor"/>
      </rPr>
      <t xml:space="preserve">; </t>
    </r>
    <r>
      <rPr>
        <b/>
        <sz val="8"/>
        <color theme="1"/>
        <rFont val="Calibri"/>
        <family val="2"/>
        <scheme val="minor"/>
      </rPr>
      <t>Héctor R. Contreras; Katherine Marcelain</t>
    </r>
    <r>
      <rPr>
        <sz val="8"/>
        <color theme="1"/>
        <rFont val="Calibri"/>
        <family val="2"/>
        <scheme val="minor"/>
      </rPr>
      <t xml:space="preserve">; Mauricio Burotto; </t>
    </r>
    <r>
      <rPr>
        <b/>
        <sz val="8"/>
        <color theme="1"/>
        <rFont val="Calibri"/>
        <family val="2"/>
        <scheme val="minor"/>
      </rPr>
      <t>Jaime González-Montero</t>
    </r>
  </si>
  <si>
    <r>
      <t xml:space="preserve">Cristóbal Vacarezza, Julieta Araneda, Pamela Gonzalez, </t>
    </r>
    <r>
      <rPr>
        <b/>
        <sz val="8"/>
        <color theme="1"/>
        <rFont val="Calibri"/>
        <family val="2"/>
        <scheme val="minor"/>
      </rPr>
      <t>Oscar Arteaga, Katherine Marcelain, Enrique A Castellon</t>
    </r>
    <r>
      <rPr>
        <sz val="8"/>
        <color theme="1"/>
        <rFont val="Calibri"/>
        <family val="2"/>
        <scheme val="minor"/>
      </rPr>
      <t xml:space="preserve">, Ana Periera, Maroun Khoury, </t>
    </r>
    <r>
      <rPr>
        <b/>
        <sz val="8"/>
        <color theme="1"/>
        <rFont val="Calibri"/>
        <family val="2"/>
        <scheme val="minor"/>
      </rPr>
      <t>Bettina Müller, Juan Alberto Lecaros, Sofia P Salas, Arnoldo Riquelme,</t>
    </r>
    <r>
      <rPr>
        <sz val="8"/>
        <color theme="1"/>
        <rFont val="Calibri"/>
        <family val="2"/>
        <scheme val="minor"/>
      </rPr>
      <t xml:space="preserve"> Alejandro H Corvalan, </t>
    </r>
    <r>
      <rPr>
        <b/>
        <sz val="8"/>
        <color theme="1"/>
        <rFont val="Calibri"/>
        <family val="2"/>
        <scheme val="minor"/>
      </rPr>
      <t>Jorge Jiménez de la Jara</t>
    </r>
    <r>
      <rPr>
        <sz val="8"/>
        <color theme="1"/>
        <rFont val="Calibri"/>
        <family val="2"/>
        <scheme val="minor"/>
      </rPr>
      <t xml:space="preserve">, </t>
    </r>
    <r>
      <rPr>
        <b/>
        <sz val="8"/>
        <color theme="1"/>
        <rFont val="Calibri"/>
        <family val="2"/>
        <scheme val="minor"/>
      </rPr>
      <t xml:space="preserve">Catterina Ferreccio, Carolina Goic, Bruno Nervi, Juan Carlos Roa, Gareth I Owen </t>
    </r>
  </si>
  <si>
    <r>
      <t xml:space="preserve">Juan Sebastián Frías-Ordoñez 1 2 3 4, </t>
    </r>
    <r>
      <rPr>
        <b/>
        <i/>
        <sz val="8"/>
        <color theme="1"/>
        <rFont val="Calibri"/>
        <family val="2"/>
        <scheme val="minor"/>
      </rPr>
      <t>Arnoldo Riquelme</t>
    </r>
    <r>
      <rPr>
        <i/>
        <sz val="8"/>
        <color theme="1"/>
        <rFont val="Calibri"/>
        <family val="2"/>
        <scheme val="minor"/>
      </rPr>
      <t xml:space="preserve"> </t>
    </r>
    <r>
      <rPr>
        <sz val="8"/>
        <color theme="1"/>
        <rFont val="Calibri"/>
        <family val="2"/>
        <scheme val="minor"/>
      </rPr>
      <t>5 6, Hernando Marulanda-Fernandez 3 7 8, Lina Otero-Parra 3, José Augusto Urrego 1 2, Elder Otero-Ramos 3 5, José Darío Portillo-Miño 8 9, William Otero Regino 1 2 3 8</t>
    </r>
  </si>
  <si>
    <r>
      <rPr>
        <b/>
        <sz val="8"/>
        <color theme="1"/>
        <rFont val="Calibri"/>
        <family val="2"/>
        <scheme val="minor"/>
      </rPr>
      <t>María Teresa Muñoz Quezada, Veronica Iglesias</t>
    </r>
    <r>
      <rPr>
        <sz val="8"/>
        <color theme="1"/>
        <rFont val="Calibri"/>
        <family val="2"/>
        <scheme val="minor"/>
      </rPr>
      <t xml:space="preserve">, Liliana Zúñiga, Floria Pancetti, Claudia Foerster, Natalia Landeros, Boris Lucero, Daniel Schwantes, </t>
    </r>
    <r>
      <rPr>
        <b/>
        <sz val="8"/>
        <color theme="1"/>
        <rFont val="Calibri"/>
        <family val="2"/>
        <scheme val="minor"/>
      </rPr>
      <t>Sandra Cortés</t>
    </r>
  </si>
  <si>
    <r>
      <t xml:space="preserve">Estela Blanco 1 2, </t>
    </r>
    <r>
      <rPr>
        <b/>
        <sz val="8"/>
        <color theme="1"/>
        <rFont val="Calibri"/>
        <family val="2"/>
        <scheme val="minor"/>
      </rPr>
      <t>Johanna Acevedo</t>
    </r>
    <r>
      <rPr>
        <sz val="8"/>
        <color theme="1"/>
        <rFont val="Calibri"/>
        <family val="2"/>
        <scheme val="minor"/>
      </rPr>
      <t xml:space="preserve"> 3 4, Liliana Pérez 2, Marian Herrera 2, Viviana Durán 5, Teresa Barlaro 6, Rodrigo Meza 7, </t>
    </r>
    <r>
      <rPr>
        <b/>
        <sz val="8"/>
        <color theme="1"/>
        <rFont val="Calibri"/>
        <family val="2"/>
        <scheme val="minor"/>
      </rPr>
      <t>Juan Carlos Roa</t>
    </r>
    <r>
      <rPr>
        <sz val="8"/>
        <color theme="1"/>
        <rFont val="Calibri"/>
        <family val="2"/>
        <scheme val="minor"/>
      </rPr>
      <t xml:space="preserve"> 8, Roxana Parra 9, Hugo Benitez 9, Molly E Schwalb 10, Craig Steinmaus 11, Catterina Ferreccio 12 13</t>
    </r>
  </si>
  <si>
    <r>
      <rPr>
        <b/>
        <sz val="8"/>
        <color theme="1"/>
        <rFont val="Calibri"/>
        <family val="2"/>
        <scheme val="minor"/>
      </rPr>
      <t>Paula Repetto</t>
    </r>
    <r>
      <rPr>
        <sz val="8"/>
        <color theme="1"/>
        <rFont val="Calibri"/>
        <family val="2"/>
        <scheme val="minor"/>
      </rPr>
      <t>1,2, Carolina Ruiz3,4, Verónica Rojas5, Patricia Olivares6,7, Jan Bakker8, Leyla Alegria3,9</t>
    </r>
  </si>
  <si>
    <r>
      <rPr>
        <b/>
        <sz val="8"/>
        <color theme="1"/>
        <rFont val="Calibri"/>
        <family val="2"/>
        <scheme val="minor"/>
      </rPr>
      <t>Puschel Klaus</t>
    </r>
    <r>
      <rPr>
        <sz val="8"/>
        <color theme="1"/>
        <rFont val="Calibri"/>
        <family val="2"/>
        <scheme val="minor"/>
      </rPr>
      <t xml:space="preserve">1,2, Arancibia Victor2, </t>
    </r>
    <r>
      <rPr>
        <b/>
        <sz val="8"/>
        <color theme="1"/>
        <rFont val="Calibri"/>
        <family val="2"/>
        <scheme val="minor"/>
      </rPr>
      <t>Rioseco Andrea1,2, Paz Sarah2, Soto María Gabriela1.2,  Martinez Javiera2,3, Faundez Marcela</t>
    </r>
    <r>
      <rPr>
        <sz val="8"/>
        <color theme="1"/>
        <rFont val="Calibri"/>
        <family val="2"/>
        <scheme val="minor"/>
      </rPr>
      <t xml:space="preserve">1, </t>
    </r>
    <r>
      <rPr>
        <b/>
        <sz val="8"/>
        <color theme="1"/>
        <rFont val="Calibri"/>
        <family val="2"/>
        <scheme val="minor"/>
      </rPr>
      <t>Acevedo Francisco</t>
    </r>
    <r>
      <rPr>
        <sz val="8"/>
        <color theme="1"/>
        <rFont val="Calibri"/>
        <family val="2"/>
        <scheme val="minor"/>
      </rPr>
      <t>2, Di Biase Felipe2,3, Emery Jon2,4, León Augusto5, Are Chandrekanth6, Thompson Beti7</t>
    </r>
  </si>
  <si>
    <r>
      <t xml:space="preserve">Pablo A. Palacios 1,† , Iván Flores 2,†, Lucas Cereceda 1 , Francisco F. Otero 1, Marioly Müller 3, Priscilla Brebi 4,5 ,
</t>
    </r>
    <r>
      <rPr>
        <b/>
        <sz val="8"/>
        <color theme="1"/>
        <rFont val="Calibri"/>
        <family val="2"/>
        <scheme val="minor"/>
      </rPr>
      <t>Héctor R. Contreras</t>
    </r>
    <r>
      <rPr>
        <sz val="8"/>
        <color theme="1"/>
        <rFont val="Calibri"/>
        <family val="2"/>
        <scheme val="minor"/>
      </rPr>
      <t xml:space="preserve"> 2,6,* and Leandro J. Carreño 1,5,*</t>
    </r>
  </si>
  <si>
    <r>
      <rPr>
        <b/>
        <sz val="8"/>
        <color theme="1"/>
        <rFont val="Calibri"/>
        <family val="2"/>
        <scheme val="minor"/>
      </rPr>
      <t>Leslie C. Cerpa</t>
    </r>
    <r>
      <rPr>
        <sz val="8"/>
        <color theme="1"/>
        <rFont val="Calibri"/>
        <family val="2"/>
        <scheme val="minor"/>
      </rPr>
      <t xml:space="preserve">1,2,3, Christopher Sandoval4, Paula Escalante1, Juan P. Cayún1,2, María A. Lavanderos1,2,5, Claudio Alarcón-Concha1,6, Guillermo Kaempfe1, Diego Moreno-Tapia1, Camilo S. Quiroz1, Carolina Gutierrez-Cáceres1,7, Olga Barajas3,8, Bettina Müller3,9, Alicia Colombo3,10, Gerardo Donoso3,10, Angie Nuñez11, Nelson M. Varela1,2 and </t>
    </r>
    <r>
      <rPr>
        <b/>
        <sz val="8"/>
        <color theme="1"/>
        <rFont val="Calibri"/>
        <family val="2"/>
        <scheme val="minor"/>
      </rPr>
      <t>Luis A. Quiñones</t>
    </r>
    <r>
      <rPr>
        <sz val="8"/>
        <color theme="1"/>
        <rFont val="Calibri"/>
        <family val="2"/>
        <scheme val="minor"/>
      </rPr>
      <t>1,2,7*</t>
    </r>
  </si>
  <si>
    <r>
      <rPr>
        <b/>
        <sz val="8"/>
        <color theme="1"/>
        <rFont val="Calibri"/>
        <family val="2"/>
        <scheme val="minor"/>
      </rPr>
      <t>Carolina Muñoz Olivar</t>
    </r>
    <r>
      <rPr>
        <sz val="8"/>
        <color theme="1"/>
        <rFont val="Calibri"/>
        <family val="2"/>
        <scheme val="minor"/>
      </rPr>
      <t xml:space="preserve">1,2*, MSc; </t>
    </r>
    <r>
      <rPr>
        <b/>
        <sz val="8"/>
        <color theme="1"/>
        <rFont val="Calibri"/>
        <family val="2"/>
        <scheme val="minor"/>
      </rPr>
      <t>Miguel Pineiro</t>
    </r>
    <r>
      <rPr>
        <sz val="8"/>
        <color theme="1"/>
        <rFont val="Calibri"/>
        <family val="2"/>
        <scheme val="minor"/>
      </rPr>
      <t xml:space="preserve">2,3*, PhD; Juan Sebastián Gómez Quintero4*, PhD; Carlos Javier Avendaño-Vásquez5,6*, PhD; Pablo Ormeño-Arriagada7*, PhD; </t>
    </r>
    <r>
      <rPr>
        <b/>
        <sz val="8"/>
        <color theme="1"/>
        <rFont val="Calibri"/>
        <family val="2"/>
        <scheme val="minor"/>
      </rPr>
      <t>Silvia Palma Rivadeneira</t>
    </r>
    <r>
      <rPr>
        <sz val="8"/>
        <color theme="1"/>
        <rFont val="Calibri"/>
        <family val="2"/>
        <scheme val="minor"/>
      </rPr>
      <t xml:space="preserve">2,8,9*, MSc; </t>
    </r>
    <r>
      <rPr>
        <b/>
        <sz val="8"/>
        <color theme="1"/>
        <rFont val="Calibri"/>
        <family val="2"/>
        <scheme val="minor"/>
      </rPr>
      <t>Carla Taramasco Toro</t>
    </r>
    <r>
      <rPr>
        <sz val="8"/>
        <color theme="1"/>
        <rFont val="Calibri"/>
        <family val="2"/>
        <scheme val="minor"/>
      </rPr>
      <t>2,3*, PhD</t>
    </r>
  </si>
  <si>
    <r>
      <rPr>
        <b/>
        <sz val="8"/>
        <color theme="1"/>
        <rFont val="Calibri"/>
        <family val="2"/>
        <scheme val="minor"/>
      </rPr>
      <t>Carla Campaña1,2 · Báltica Cabieses1,2 · Alexandra Obach1,2 · Francisca Vezzani</t>
    </r>
    <r>
      <rPr>
        <sz val="8"/>
        <color theme="1"/>
        <rFont val="Calibri"/>
        <family val="2"/>
        <scheme val="minor"/>
      </rPr>
      <t>1,2 · Angela Estay3 · Diego Carrillo4</t>
    </r>
  </si>
  <si>
    <r>
      <t xml:space="preserve">Alejandra Ortega Guzmán, </t>
    </r>
    <r>
      <rPr>
        <b/>
        <sz val="8"/>
        <color theme="1"/>
        <rFont val="Calibri"/>
        <family val="2"/>
        <scheme val="minor"/>
      </rPr>
      <t>Solange Parra-Soto, María Jesús Vega-Salas, Lorena Rodríguez-Osiac, Sandra López-Arana</t>
    </r>
  </si>
  <si>
    <r>
      <rPr>
        <b/>
        <sz val="8"/>
        <color theme="1"/>
        <rFont val="Calibri"/>
        <family val="2"/>
        <scheme val="minor"/>
      </rPr>
      <t>Carla Taramasco</t>
    </r>
    <r>
      <rPr>
        <sz val="8"/>
        <color theme="1"/>
        <rFont val="Calibri"/>
        <family val="2"/>
        <scheme val="minor"/>
      </rPr>
      <t>, René Noel, Gastón Márquez, Diego Robles</t>
    </r>
  </si>
  <si>
    <r>
      <t xml:space="preserve">Eduardo Durán Jara 1 Iván Ponce 1 , Marcelo Rojas Herrera 1 , </t>
    </r>
    <r>
      <rPr>
        <b/>
        <sz val="8"/>
        <color theme="1"/>
        <rFont val="Calibri"/>
        <family val="2"/>
        <scheme val="minor"/>
      </rPr>
      <t>Jessica Toro</t>
    </r>
    <r>
      <rPr>
        <sz val="8"/>
        <color theme="1"/>
        <rFont val="Calibri"/>
        <family val="2"/>
        <scheme val="minor"/>
      </rPr>
      <t xml:space="preserve"> 2, 3 , Paulo Covarrubias 1 , Evelin González 2 , Natalia T. Santis Alay 4 5 , Mario E. Soto Marchant 4 6 , </t>
    </r>
    <r>
      <rPr>
        <b/>
        <sz val="8"/>
        <color theme="1"/>
        <rFont val="Calibri"/>
        <family val="2"/>
        <scheme val="minor"/>
      </rPr>
      <t xml:space="preserve">Katherine Marcelain </t>
    </r>
    <r>
      <rPr>
        <sz val="8"/>
        <color theme="1"/>
        <rFont val="Calibri"/>
        <family val="2"/>
        <scheme val="minor"/>
      </rPr>
      <t>2, 3 , Bárbara Parra 1 and Jorge Fernández 1</t>
    </r>
  </si>
  <si>
    <r>
      <rPr>
        <b/>
        <sz val="8"/>
        <color theme="1"/>
        <rFont val="Calibri"/>
        <family val="2"/>
        <scheme val="minor"/>
      </rPr>
      <t>Pedro E. Pérez-Cruz</t>
    </r>
    <r>
      <rPr>
        <sz val="8"/>
        <color theme="1"/>
        <rFont val="Calibri"/>
        <family val="2"/>
        <scheme val="minor"/>
      </rPr>
      <t xml:space="preserve">, M.D., M.P.H.1,2 , María Jesús San Martín, M.PSYCH.3, Josefa Palacios, M.SC., PH.D.4 , Laura Tupper-Satt, M.D.5, Marcela González-Otaíza, M.D.5 and </t>
    </r>
    <r>
      <rPr>
        <b/>
        <sz val="8"/>
        <color theme="1"/>
        <rFont val="Calibri"/>
        <family val="2"/>
        <scheme val="minor"/>
      </rPr>
      <t>Paula Repetto</t>
    </r>
    <r>
      <rPr>
        <sz val="8"/>
        <color theme="1"/>
        <rFont val="Calibri"/>
        <family val="2"/>
        <scheme val="minor"/>
      </rPr>
      <t>, PH.D.2,6</t>
    </r>
  </si>
  <si>
    <r>
      <t xml:space="preserve">María José Torres, PhD, Juan Carlos Ríos, PhD ,Alexandra Valle, MSc , </t>
    </r>
    <r>
      <rPr>
        <b/>
        <sz val="8"/>
        <color theme="1"/>
        <rFont val="Calibri"/>
        <family val="2"/>
        <scheme val="minor"/>
      </rPr>
      <t>Sebastián Indo, PhD</t>
    </r>
    <r>
      <rPr>
        <sz val="8"/>
        <color theme="1"/>
        <rFont val="Calibri"/>
        <family val="2"/>
        <scheme val="minor"/>
      </rPr>
      <t xml:space="preserve"> , Kevin Brockway GV, MSc, Fernanda López-Moncada, Mario Faúndez, PhD, </t>
    </r>
    <r>
      <rPr>
        <b/>
        <sz val="8"/>
        <color theme="1"/>
        <rFont val="Calibri"/>
        <family val="2"/>
        <scheme val="minor"/>
      </rPr>
      <t>Enrique A. Castellón, PhD, Héctor R. Contreras</t>
    </r>
  </si>
  <si>
    <r>
      <t xml:space="preserve">Cristian González, </t>
    </r>
    <r>
      <rPr>
        <b/>
        <sz val="8"/>
        <color theme="1"/>
        <rFont val="Calibri"/>
        <family val="2"/>
        <scheme val="minor"/>
      </rPr>
      <t>Manuel Espinoza</t>
    </r>
    <r>
      <rPr>
        <sz val="8"/>
        <color theme="1"/>
        <rFont val="Calibri"/>
        <family val="2"/>
        <scheme val="minor"/>
      </rPr>
      <t xml:space="preserve">, Matías Libuy, Francisca Crispi, </t>
    </r>
    <r>
      <rPr>
        <b/>
        <sz val="8"/>
        <color theme="1"/>
        <rFont val="Calibri"/>
        <family val="2"/>
        <scheme val="minor"/>
      </rPr>
      <t>ARNOLDO RIQUELME</t>
    </r>
    <r>
      <rPr>
        <sz val="8"/>
        <color theme="1"/>
        <rFont val="Calibri"/>
        <family val="2"/>
        <scheme val="minor"/>
      </rPr>
      <t>, Fernando Alarid-Escudero, Gonzalo Latorre, Margarita Pizarro, Cristóbal Cuadrado</t>
    </r>
  </si>
  <si>
    <r>
      <rPr>
        <b/>
        <sz val="8"/>
        <color theme="1"/>
        <rFont val="Calibri"/>
        <family val="2"/>
        <scheme val="minor"/>
      </rPr>
      <t>Karla González-Suitta</t>
    </r>
    <r>
      <rPr>
        <sz val="8"/>
        <color theme="1"/>
        <rFont val="Calibri"/>
        <family val="2"/>
        <scheme val="minor"/>
      </rPr>
      <t>,b, Rodolfo Barríac, and Vanessa Iturrietaa</t>
    </r>
  </si>
  <si>
    <r>
      <t xml:space="preserve">Carolina De la Fuentea, b , </t>
    </r>
    <r>
      <rPr>
        <b/>
        <sz val="8"/>
        <color theme="1"/>
        <rFont val="Calibri"/>
        <family val="2"/>
        <scheme val="minor"/>
      </rPr>
      <t>Paula Bedregal</t>
    </r>
    <r>
      <rPr>
        <sz val="8"/>
        <color theme="1"/>
        <rFont val="Calibri"/>
        <family val="2"/>
        <scheme val="minor"/>
      </rPr>
      <t xml:space="preserve">a, b* , Paula Zamoranoa, b , </t>
    </r>
    <r>
      <rPr>
        <b/>
        <sz val="8"/>
        <color theme="1"/>
        <rFont val="Calibri"/>
        <family val="2"/>
        <scheme val="minor"/>
      </rPr>
      <t>Oscar Arteaga</t>
    </r>
    <r>
      <rPr>
        <sz val="8"/>
        <color theme="1"/>
        <rFont val="Calibri"/>
        <family val="2"/>
        <scheme val="minor"/>
      </rPr>
      <t>b, c , Cristian Rebolledob, c , Camilo Oñatec , Pedro Zitkoa, b</t>
    </r>
  </si>
  <si>
    <r>
      <t xml:space="preserve">Francisco Ceballos 1,2,* , Felix Boekstegers 1 </t>
    </r>
    <r>
      <rPr>
        <b/>
        <sz val="8"/>
        <color theme="1"/>
        <rFont val="Calibri"/>
        <family val="2"/>
        <scheme val="minor"/>
      </rPr>
      <t>Katherine Marcelain</t>
    </r>
    <r>
      <rPr>
        <sz val="8"/>
        <color theme="1"/>
        <rFont val="Calibri"/>
        <family val="2"/>
        <scheme val="minor"/>
      </rPr>
      <t xml:space="preserve"> 3 , Dominique Scherer 1 , Carol Barahona Ponce 1 , Valentina Gárate-Calderón 1,3, Melanie Waldenberger 4 , , Erik Morales 5,6, Armando Rojas 6 , César Munoz 5,6, Javier Retamales 7 Olga Barajas 3,10, María Teresa Rivera 11 , Gonzalo de Toro 8,9 , Allan Vera Kortmann 8 , , Analía Cortés 11, Denisse Loader 12, Javiera Saavedra 12, Lorena Gutiérrez 13, Alejandro Ortega 14, Maria Enriqueta Bertrán 15, Leonardo Bartolotti 16, Fernando Gabler 17, Mónica Campos 17, Juan Alvarado 18, Fabricio Moisán 18, Loreto Spencer 18, </t>
    </r>
    <r>
      <rPr>
        <b/>
        <sz val="8"/>
        <color theme="1"/>
        <rFont val="Calibri"/>
        <family val="2"/>
        <scheme val="minor"/>
      </rPr>
      <t xml:space="preserve">Bruno Nervi </t>
    </r>
    <r>
      <rPr>
        <sz val="8"/>
        <color theme="1"/>
        <rFont val="Calibri"/>
        <family val="2"/>
        <scheme val="minor"/>
      </rPr>
      <t>19 , Daniel Carvajal-Hausdorf 20, Héctor Losada 21 Pamela Salinas 25 , Mauricio Almau 22, Plinio Fernández 22, Jordi Olloquequi 23,24 and</t>
    </r>
    <r>
      <rPr>
        <b/>
        <sz val="8"/>
        <color theme="1"/>
        <rFont val="Calibri"/>
        <family val="2"/>
        <scheme val="minor"/>
      </rPr>
      <t>JustoLorenzoBermejo</t>
    </r>
    <r>
      <rPr>
        <sz val="8"/>
        <color theme="1"/>
        <rFont val="Calibri"/>
        <family val="2"/>
        <scheme val="minor"/>
      </rPr>
      <t xml:space="preserve"> 1,26,</t>
    </r>
  </si>
  <si>
    <r>
      <t xml:space="preserve">Dominique Scherer1,† , Carol Barahona Ponce1,†, Claudio Mengoa2, Paola Montenegro3, Hector Losada4, Ana Lineth Garcia5, Armando Rojas6, Erik Morales6,7, Allan Vera Kortmann8, Loreto Spencer9, Alejandro Ortega10, Karina Vargas Valdebenito10, </t>
    </r>
    <r>
      <rPr>
        <b/>
        <sz val="8"/>
        <color theme="1"/>
        <rFont val="Calibri"/>
        <family val="2"/>
        <scheme val="minor"/>
      </rPr>
      <t>Juan Carlos Roa11</t>
    </r>
    <r>
      <rPr>
        <sz val="8"/>
        <color theme="1"/>
        <rFont val="Calibri"/>
        <family val="2"/>
        <scheme val="minor"/>
      </rPr>
      <t xml:space="preserve">,12, Cristina Inklemona13, </t>
    </r>
    <r>
      <rPr>
        <b/>
        <sz val="8"/>
        <color theme="1"/>
        <rFont val="Calibri"/>
        <family val="2"/>
        <scheme val="minor"/>
      </rPr>
      <t>Alicia Colombo Flores</t>
    </r>
    <r>
      <rPr>
        <sz val="8"/>
        <color theme="1"/>
        <rFont val="Calibri"/>
        <family val="2"/>
        <scheme val="minor"/>
      </rPr>
      <t xml:space="preserve">11,14,15,16, Romy Kirsten17, Linda Zollner1, </t>
    </r>
    <r>
      <rPr>
        <b/>
        <sz val="8"/>
        <color theme="1"/>
        <rFont val="Calibri"/>
        <family val="2"/>
        <scheme val="minor"/>
      </rPr>
      <t>Katherine Marcelain</t>
    </r>
    <r>
      <rPr>
        <sz val="8"/>
        <color theme="1"/>
        <rFont val="Calibri"/>
        <family val="2"/>
        <scheme val="minor"/>
      </rPr>
      <t xml:space="preserve">11,16, Trine B. Rounge18,19, Hilde Langseth19, Sarah Jane Lewis20 , Gerardo Francisco Arroyo21, Ricardo Armisen22, </t>
    </r>
    <r>
      <rPr>
        <b/>
        <sz val="8"/>
        <color theme="1"/>
        <rFont val="Calibri"/>
        <family val="2"/>
        <scheme val="minor"/>
      </rPr>
      <t>Bruno Nervi Nattero11</t>
    </r>
    <r>
      <rPr>
        <sz val="8"/>
        <color theme="1"/>
        <rFont val="Calibri"/>
        <family val="2"/>
        <scheme val="minor"/>
      </rPr>
      <t xml:space="preserve">,23, Bettina G. Muller24, Piga Roxana Fernández Kaempffer25, Rajiv Kumar1, Pamela Salinas-Alvarez26, Rachel Sabine Kelly27 Dominique Scherer, Mazda Jenab28, </t>
    </r>
    <r>
      <rPr>
        <b/>
        <sz val="8"/>
        <color theme="1"/>
        <rFont val="Calibri"/>
        <family val="2"/>
        <scheme val="minor"/>
      </rPr>
      <t>Justo Lorenzo Bermejo</t>
    </r>
    <r>
      <rPr>
        <sz val="8"/>
        <color theme="1"/>
        <rFont val="Calibri"/>
        <family val="2"/>
        <scheme val="minor"/>
      </rPr>
      <t>1,29</t>
    </r>
  </si>
  <si>
    <r>
      <t xml:space="preserve">E. Elsacaa,e, J. L´opezb,e, A. Valenzuelaa,e, A. Gonz´alezb,e, J. Cerdac,e, </t>
    </r>
    <r>
      <rPr>
        <b/>
        <sz val="8"/>
        <color theme="1"/>
        <rFont val="Calibri"/>
        <family val="2"/>
        <scheme val="minor"/>
      </rPr>
      <t>B. Nervi</t>
    </r>
    <r>
      <rPr>
        <sz val="8"/>
        <color theme="1"/>
        <rFont val="Calibri"/>
        <family val="2"/>
        <scheme val="minor"/>
      </rPr>
      <t>b,d,e, A. Aizmana,e,*</t>
    </r>
  </si>
  <si>
    <r>
      <t xml:space="preserve">Leniz J, Hernández-Jaña S, Soto M, Arenas E, </t>
    </r>
    <r>
      <rPr>
        <b/>
        <sz val="8"/>
        <color theme="1"/>
        <rFont val="Calibri"/>
        <family val="2"/>
        <scheme val="minor"/>
      </rPr>
      <t>Margozzini P</t>
    </r>
    <r>
      <rPr>
        <sz val="8"/>
        <color theme="1"/>
        <rFont val="Calibri"/>
        <family val="2"/>
        <scheme val="minor"/>
      </rPr>
      <t xml:space="preserve">, Suarez F, Capurro D, Rojas MP, </t>
    </r>
    <r>
      <rPr>
        <b/>
        <sz val="8"/>
        <color theme="1"/>
        <rFont val="Calibri"/>
        <family val="2"/>
        <scheme val="minor"/>
      </rPr>
      <t>Bambs C</t>
    </r>
    <r>
      <rPr>
        <sz val="8"/>
        <color theme="1"/>
        <rFont val="Calibri"/>
        <family val="2"/>
        <scheme val="minor"/>
      </rPr>
      <t>*.</t>
    </r>
  </si>
  <si>
    <r>
      <t xml:space="preserve">Satheesh G, Dhurjati R, Alston L, Tesfay F, Pant R, Bahiru E, </t>
    </r>
    <r>
      <rPr>
        <b/>
        <sz val="8"/>
        <color theme="1"/>
        <rFont val="Calibri"/>
        <family val="2"/>
        <scheme val="minor"/>
      </rPr>
      <t>Bambs C</t>
    </r>
    <r>
      <rPr>
        <sz val="8"/>
        <color theme="1"/>
        <rFont val="Calibri"/>
        <family val="2"/>
        <scheme val="minor"/>
      </rPr>
      <t>, Agarwal A, Peters SAE, Salam A, Johansson I</t>
    </r>
  </si>
  <si>
    <t>3.1</t>
  </si>
  <si>
    <t xml:space="preserve">Association between demographic, clinical characteristics and severe complications by SARS-CoV-2 infection in a community-based healthcare network in Chile. </t>
  </si>
  <si>
    <t>http://doi/10.5334/gh.1355</t>
  </si>
  <si>
    <t>Impact of Life’s Essential Eight and Inflammatory Markers on Long-term Cardiovascular Disease Risk and All-cause Mortality: The Heart SCORE Study</t>
  </si>
  <si>
    <t xml:space="preserve">https://doi.org/10.1101/2025.06.02.25328831 </t>
  </si>
  <si>
    <t>1. School of Public Health, Faculty of Medicine, Pontificia Universidad Católica de Chile, Santiago, Chile 2. Advanced Center for Chronic Diseases and Center for Cancer Prevention and Control, Faculty of Medicine, Pontificia Universidad Católica de Chile. Santiago, Chile 3. School of Medicine, University of Pittsburgh, PA 4. University of South Florida, Tampa, FL 5. Department of Statistics, University of Pittsburgh, PA 6. Clinical Analytics, UPMC Health Services Division, Pittsburgh, PA 7. Department of Psychiatry, University of Pittsburgh, Pittsburgh, PA. 8. Heart and Vascular Institute, UPMC, Pittsburgh, PA</t>
  </si>
  <si>
    <r>
      <t>*</t>
    </r>
    <r>
      <rPr>
        <b/>
        <sz val="8"/>
        <rFont val="Calibri"/>
        <family val="2"/>
        <scheme val="minor"/>
      </rPr>
      <t>Claudia E. Bambs</t>
    </r>
    <r>
      <rPr>
        <sz val="8"/>
        <rFont val="Calibri"/>
        <family val="2"/>
        <scheme val="minor"/>
      </rPr>
      <t>1,2, *Ian Pollack3, Justin Swanson4, Jiaxuan Duan5, Christopher McKennan5,
Kevin Kip6, Daniel Buysse7, Steven E. Reis^3,8 and Anum Saeed^3,8</t>
    </r>
  </si>
  <si>
    <r>
      <t xml:space="preserve">Jaime Cerda1, Ricardo Castro2, </t>
    </r>
    <r>
      <rPr>
        <b/>
        <sz val="8"/>
        <rFont val="Calibri"/>
        <family val="2"/>
        <scheme val="minor"/>
      </rPr>
      <t>Claudia Bambs</t>
    </r>
    <r>
      <rPr>
        <sz val="8"/>
        <rFont val="Calibri"/>
        <family val="2"/>
        <scheme val="minor"/>
      </rPr>
      <t>1,3,4 y María Elvira Balcells5</t>
    </r>
  </si>
  <si>
    <t>1Escuela de Salud Pública, Pontificia Universidad Católica de Chile, Santiago, Chile.
2Departamento de Medicina Intensiva. Escuela de Medicina, Pontificia Universidad Católica de Chile, Santiago, Chile.
3Centro Avanzado de Enfermedades Crónicas (ACCDiS), Fondap 1513001, Santiago, Chile.
4Centro para la Prevención y el Control del Cáncer (CECAN), Fondap 152220002, Santiago, Chile.
5Departamento de Enfermedades Infecciosas del Adulto. Escuela de Medicina, Pontificia Universidad Católica de Chile, Santiago, Chile.</t>
  </si>
  <si>
    <t xml:space="preserve">Rev Chilena Infectol </t>
  </si>
  <si>
    <t>https://doi.org/10.4067/s0716-10182025000200119</t>
  </si>
  <si>
    <t>EN REVISION</t>
  </si>
  <si>
    <r>
      <t xml:space="preserve">Christian Schulz ,1,2 Jyh-Ming
Liou ,3 Mohamed Alboraie ,4 Jan Bornschein,5,6
Christian Campos Nunez,7 Luiz Gonzaga Coelho,8 Duc Trong Quach ,9
Carlo A Fallone,10 Yi-Chu
Chen ,11 Markus Gerhard ,2,12 Javier P Gisbert ,13,14
Hwoon-Yong
Jung ,15 Peter H Katelaris,16 Jae Gyu Kim ,17 Hong Lu ,18
Lukas Macke,2,19 Varocha Mahachai,20 Steven F Moss,21 Jose Maria Remes Troche,22
</t>
    </r>
    <r>
      <rPr>
        <b/>
        <sz val="8"/>
        <rFont val="Calibri"/>
        <family val="2"/>
        <scheme val="minor"/>
      </rPr>
      <t>Arnoldo Riquelme</t>
    </r>
    <r>
      <rPr>
        <sz val="8"/>
        <rFont val="Calibri"/>
        <family val="2"/>
        <scheme val="minor"/>
      </rPr>
      <t xml:space="preserve"> ,23,24 Marco Romano,25 Mashiko Setshedi ,26
Stella Smith ,27 Sebastian Suerbaum,2,28 Evariste Tshibangu-Kabamba,
29,30
Ratha-Korn
Vilaichone,31 Abbas Yadegar ,32 Yoshio Yamaoka ,33,34
Francis Mégraud,35 Emad M El-Omar
,36 Kentaro Sugano ,37
Peter Malfertheiner 1</t>
    </r>
  </si>
  <si>
    <t>Helicobacter pylori antibiotic resistance: a global challenge in search of solutions</t>
  </si>
  <si>
    <t>https://doi.org/10.1136/gutjnl-2025-335523</t>
  </si>
  <si>
    <t>1Medical Department 2, LMU Munich, Munich, Germany chr.schulz@med.uni-muenchen.de.
2German Center for Infection Research (DZIF), partner site Munich, Munich, Germany.
3Internal Medicine, National Taiwan University Hospital, Taipei, Taiwan.
4Department of Internal Medicine, Al-Azhar University, Cairo, Egypt.
5Translational Immune Discovery Unit, Medical Research Council Weatherall Institute of Molecular Medicine (MRC WIMM), Radcliffe Department of Medicine, Oxford University, Oxford, England, UK.
6Translational Gastroenterology and Liver Unit, Nuffield Department of Medicine, John Radcliffe Hospital, Oxford University, Oxford, England, UK.
7Department of Gastroenterology and Digestive Endoscopy, Hospital Clínica Bíblica, San José, Costa Rica.
8Instituto Alfa de Gastroenterologia, Belo Horizonte - MG, Belo Horizonte - MG, Brazil.
9Department of Internal Medicine, University of Medicine and Pharmacy at Ho Chi Minh City, Ho Chi Minh City, Vietnam.
10Division of Gastroenterology, McGill University Heath Center, McGill University Faculty of Medicine, Montreal, Quebec, Canada.
11Institute of Epidemiology and Preventive Medicine, College of Public Health, National Taiwan University, Taipei City, Taipei City, Taiwan.
12Institut für Medizinische Mikrobiologie, Immunologie und Hygiene, Technische Universität München, Munich, Germany.
13Gastroenterology, Hospital Universitario de La Princesa, Instituto de Investigación Sanitaria Princesa (IP), Madrid, Spain.
14Centro de Investigación Biomédica en Red de Enfermedades Hepáticas y Digestivas (CIBEREHD), Madrid, Spain.
15Gastroenterology, University of Ulsan College of Medicine, Songpa-gu, Korea (the Republic of).
16Gastroenterology Department, Concord Hospital, Sydney, New South Wales, Australia.
17Division of Gastroenterology, Department of Internal Medicine, Chung-Ang University College of Medicine, Seoul, Korea (the Republic of).
18GI Division, Shanghai Jiao-Tong University School of Medicine Renji Hospital Shanghai Institution of Digestive Disease, Shanghai, China.
19Medical Department 2, Ludwig Maximilian University of Munich, Munich, BY, Germany.
20Center of Excellence in Digestive Diseases, Department of Medicine, Thammasat University, Bangkok, Bangkok, Thailand.
21Medicine, Rhode Island Hospital/Brown University, Providence, Rhode Island, USA.
22Digestive Physiology and Motility Lab, Medical Biological Research Institute, Universidad Veracruzana, Veracruz, Veracruz, Mexico.
23Department of Gastroenterology, Pontificia Universidad Catolica de Chile, Santiago, Región Metropolitana, Chile.
24Center for Prevention and Control of Cancer (CECAN), Pontificia Universidad Católica de Chile, Santiago, Región Metropolitana, Chile.
25Department of Precision Medicine, University of Campania Luigi Vanvitelli, Naples, Italy.
26University of Cape Town, Rondebosch, South Africa.
27Nigerian Institute of Medical Research, Lagos, Nigeria.
28Chair of Medical Microbiology and Hospital Epidemiology, Max von Pettenkofer Institute, Faculty of Medicine, LMU Munich, Munich, Germany.
29Department of Internal Medicine, Faculty of Medicine, University of Mbujimayi, Mbujimayi, Congo (the Democratic Republic of the).
30Research Center for Infectious Disease Sciences, Osaka Metropolitan University, Osaka, Osaka Prefecture, Japan.
31Thammasat University, Bangkok, Bangkok, Thailand.
32Foodborne and Waterborne Diseases Research Center, Research Institute for Gastroenterology and Liver Diseases, Shahid Beheshti University of Medical Sciences, Tehran, Tehran Province, Iran (the Islamic Republic of).
33Department of Environmental and Preventive Medicine, Oita University Faculty Of Medicine, Yufu, Oita Prefecture, Japan.
34Gastroenterology and Hepatology Section, Baylor College of Medicine, Houston, Texas, USA.
35INSERM U1312 BRIC, University of Bordeaux, Talence, Nouvelle-Aquitaine, France.
36UNSW Microbiome Research Centre, University of New South Wales, Sydney, New South Wales, Australia.
37Department of Medicine, Jichi Medical School, Tochigi, Japan.
38Medical Department 2, LMU Munich, Munich, Germany.</t>
  </si>
  <si>
    <t>OncovigIA: Artificial Intelligence for Early Lung Cancer Detection and Referral in a Chilean Public Hospital</t>
  </si>
  <si>
    <r>
      <rPr>
        <b/>
        <sz val="8"/>
        <rFont val="Calibri"/>
        <family val="2"/>
        <scheme val="minor"/>
      </rPr>
      <t>Jose Peña</t>
    </r>
    <r>
      <rPr>
        <sz val="8"/>
        <rFont val="Calibri"/>
        <family val="2"/>
        <scheme val="minor"/>
      </rPr>
      <t xml:space="preserve">, MD 1,2,3,4; SebastianSantana 5 ; Juan Cristobal Morales, MD 2,3 ; Natalie Pinto 2,6 ; Mariano Suarez5 ; Carola Sanchez3;
Juan Carlos Opazo, MD 2,7 ; Rodrigo Villarroel, MD 2 ; Claudio Montenegro, MD 2 ; </t>
    </r>
    <r>
      <rPr>
        <b/>
        <sz val="8"/>
        <rFont val="Calibri"/>
        <family val="2"/>
        <scheme val="minor"/>
      </rPr>
      <t xml:space="preserve">Bruno Nervi, MD 1,4 ; and Richard Weber, </t>
    </r>
    <r>
      <rPr>
        <sz val="8"/>
        <rFont val="Calibri"/>
        <family val="2"/>
        <scheme val="minor"/>
      </rPr>
      <t>PhD 4,5,8</t>
    </r>
  </si>
  <si>
    <t>JCO Clinical Cancer Informatics</t>
  </si>
  <si>
    <t>Departamento de Hematolog´ıa-Oncolog´ıa, Escuela de Medicina, Pontificia Universidad Cat´ olicade Chile, Santiago, Chile
2
Hospital Dr S´ oterodel R´ıo, Santiago, Chile
3
Servicio de Salud Metropolitano Sur Oriente, Santiago, Chile
4
Centro para la Prevenci´ ony el Control del C´ ancer(CECAN), Santiago, Chile
5
Departamento de Ingenier´ıa Industrial, Universidad de Chile, Santiago,
Chile
6 Escuela de Enfermer´ıa, Pontificia Universidad Cat´olica
de Chile,
Santiago, Chile
7 Departamento de Medicina Interna, Escuela de Medicina, Pontificia
Universidad Cat´ olicade Chile, Santiago, Chile
8 Instituto Sistemas Complejos de Ingenier´ıa (ISCI), Santiago, Chile</t>
  </si>
  <si>
    <t>Análisis Bayesiano de un ensayo controlado aleatorizado: aspectos matemáticos y clínicos</t>
  </si>
  <si>
    <t>Editorial: Head and neck squamous cell carcinoma: navigating the dawn of personalized medicine</t>
  </si>
  <si>
    <r>
      <rPr>
        <b/>
        <sz val="8"/>
        <color theme="1"/>
        <rFont val="Calibri"/>
        <family val="2"/>
        <scheme val="minor"/>
      </rPr>
      <t>Luis Abel Quiñones</t>
    </r>
    <r>
      <rPr>
        <sz val="8"/>
        <color theme="1"/>
        <rFont val="Calibri"/>
        <family val="2"/>
        <scheme val="minor"/>
      </rPr>
      <t>1,2,3,4*, Ye Guo5 and Fujun Han6</t>
    </r>
  </si>
  <si>
    <t>1Laboratory of Chemical Carcinogenesis and Pharmacogenetics (CQF), Department of Basic and
Clinical Oncology, Faculty of Medicine, University of Chile, Santiago, Chile, 2Department of
Pharmaceutical Sciences and Technology, Faculty of Chemical and Pharmaceutical Sciences,
University of Chile, Santiago, Chile, 3Latin American Network for Implementation and Validation of
Clinical Pharmacogenomics Guidelines (RELIVAF), Santiago, Chile, 4Center for Cancer Prevention and
Control (CECAN), Santiago, Chile, 5Department of Oncology, Shanghai East Hospital, School of
Medicine, Tongji University, Shanghai, China, 6Cancer Centre, First Hospital of Jilin University,
Changchun, China</t>
  </si>
  <si>
    <t xml:space="preserve">https://doi.org/10.1200/CCI-25-00035 </t>
  </si>
  <si>
    <t xml:space="preserve">https://doi.org/10.3389/fonc.2025.1684617 </t>
  </si>
  <si>
    <t>Gastric remnant cancer: a comprehensive narrative review
from carcinogenesis to treatment</t>
  </si>
  <si>
    <r>
      <t xml:space="preserve">José Darío Portillo-Miño1,2* , Sandra Cifuentes1,2,3 , Javier Morales1,4 , Melissa Bastidas2 , William Otero2,5,6 , Paulo Pimentel de Assumpção7 , Gonzalo Latorre8 , Megan Neumann9 , </t>
    </r>
    <r>
      <rPr>
        <b/>
        <sz val="8"/>
        <rFont val="Calibri"/>
        <family val="2"/>
        <scheme val="minor"/>
      </rPr>
      <t>Arnoldo Riquelme</t>
    </r>
    <r>
      <rPr>
        <sz val="8"/>
        <rFont val="Calibri"/>
        <family val="2"/>
        <scheme val="minor"/>
      </rPr>
      <t xml:space="preserve"> 8,10</t>
    </r>
  </si>
  <si>
    <t>1 Grupo de Investigacion en Enfermedades Infecciosas y Cancer (GINFYCA), Centro de Investigaciones Clínicas, Fundacion Hospital San Pedro. Pasto,
Nariño. Colombia.
2 Grupo Colombiano de Investigacion en Helicobacter pylori, Bogotá, Colombia.
3 Gastroenterology and Digestive Endoscopy Unit, Fundación Hospital San Pedro, Pasto, Nariño. Colombia.
4 Oncological Surgery Service, Unidad Funcional del Cuidado Integral del Cáncer del Adulto (UFCA), Fundación Hospital San Pedro, Pasto, Nariño.
Colombia.
5 Department of Gastroenterology, Faculty of Medicine, Universidad Nacional de Colombia, Bogotá. Colombia.
6 Department of Gastroenterology, Hospital Universitario Nacional de Colombia, Bogotá. Colombia
7 Oncology Research Center, Federal University of Pará, Pará. Brazil.
8 Department of Gastroenterology, Faculty of Medicine, Pontificia Universidad Católica de Chile, Santiago. Chile.
9 División of Surgery, Faculty of Medicine, Pontificia Universidad Católica de Chile, Santiago, Chile.
10 Centro para la Prevencion y el Control del Cancer (CECAN), Santiago. Chile</t>
  </si>
  <si>
    <t xml:space="preserve">https://doi.org/10.47892/rgp.2025.453.1943 </t>
  </si>
  <si>
    <t>Inequities in breast cancer outcomes in Chile: An analysis of case fatality ratios and survival rates (2007–2018)</t>
  </si>
  <si>
    <r>
      <t xml:space="preserve">Benjamín Madariaga1, </t>
    </r>
    <r>
      <rPr>
        <b/>
        <sz val="8"/>
        <rFont val="Calibri"/>
        <family val="2"/>
        <scheme val="minor"/>
      </rPr>
      <t>Susana Mondschein</t>
    </r>
    <r>
      <rPr>
        <sz val="8"/>
        <rFont val="Calibri"/>
        <family val="2"/>
        <scheme val="minor"/>
      </rPr>
      <t xml:space="preserve">  2,3,4∗, Soledad Torres5</t>
    </r>
  </si>
  <si>
    <t>1 Department of Mathematical Engineering, University of Chile, Santiago, Chile, 2 Department of Industrial Engineering, University of Chile, Santiago, Chile, 3 Instituto Sistemas Complejos de Ingeniería (ISCI), Santiago, Chile, 4 Center for Cancer Prevention and Control (CECAN), Santiago, Chile, 5 Clínica Meds, Santiago, Chile</t>
  </si>
  <si>
    <t xml:space="preserve">https://doi.org/10.1371/journal.pone.0325252 </t>
  </si>
  <si>
    <t>Chilean Biobanks: A Snapshot of the Current Landscape</t>
  </si>
  <si>
    <r>
      <rPr>
        <b/>
        <sz val="8"/>
        <rFont val="Calibri"/>
        <family val="2"/>
        <scheme val="minor"/>
      </rPr>
      <t>Iskra A. Signore,1,2 Diego I. Romero,2,3,* Gerardo Donoso,</t>
    </r>
    <r>
      <rPr>
        <sz val="8"/>
        <rFont val="Calibri"/>
        <family val="2"/>
        <scheme val="minor"/>
      </rPr>
      <t xml:space="preserve">2,4,* Carolina Selman,5 Yolanda Espinosa-Parrilla,6–8
Macarena Fuentes-Guajardo,9 </t>
    </r>
    <r>
      <rPr>
        <b/>
        <sz val="8"/>
        <rFont val="Calibri"/>
        <family val="2"/>
        <scheme val="minor"/>
      </rPr>
      <t>Claudia Bambs</t>
    </r>
    <r>
      <rPr>
        <sz val="8"/>
        <rFont val="Calibri"/>
        <family val="2"/>
        <scheme val="minor"/>
      </rPr>
      <t xml:space="preserve">,2,10 Elisa Alcalde,11 Alejandra Calderón,12 Camila Corvalán,13
Sandro Casavilca-Zambrano,14–16 </t>
    </r>
    <r>
      <rPr>
        <b/>
        <sz val="8"/>
        <rFont val="Calibri"/>
        <family val="2"/>
        <scheme val="minor"/>
      </rPr>
      <t>Juan Carlos Roa,2,17 and Alicia Colombo2,4,18,19</t>
    </r>
  </si>
  <si>
    <t>1Faculty of Medicine, Universidad de Atacama, Copiapó, Chile.
2Center for Cancer Prevention and Control (CECAN), Santiago, Chile.
3Tissues and Fluids Biobank of the School of Medicine, Pontificia Universidad Católica de Chile, Santiago, Chile.
4Service of Anatomic Pathology, Hospital Clínico de la Universidad de Chile, Santiago, Chile.
5Subdirection of Diagnostic Units and Biobank, Fundación Arturo López Pérez, Santiago, Chile.
6School of Medicine, Universidad de Magallanes, Punta Arenas, Chile.
7Evolutionary and Medical Genomics of Magallanes (GEMMa), Healthcare, Teaching, and Research Center (CADI-UMAG),
Universidad de Magallanes, Punta Arenas, Chile.
8Chilean Group for Hereditary Cancer (GCCH), Punta Arenas, Chile.
9Department of Medical Technology, Faculty of Health Sciences, Universidad de Tarapacá, Arica, Chile.
10School of Public Health, Advanced Center for Chronic Diseases (ACCDiS), Faculty of Medicine, Pontificia Universidad Católica de
Chile, Santiago, Chile.
11Hospital Luis Calvo Mackenna, Santiago, Chile.
12Precision Pathology Laboratory (LPP) and Biobank, Universidad de Valparaíso, Valparaíso, Chile.
13Research Center for Food Environments and Prevention of Chronic Diseases Associated with Nutrition (CIAPEC), Institute of
Nutrition and Food Technology (INTA), Universidad de Chile, Santiago, Chile.
14National Tumor Bank, Instituto Nacional de Enfermedades Neoplásicas, Lima, Perú.
15International Joint Laboratory of Molecular Anthropological Oncology (LOAM), INEN, IRD, Lima, Perú.
16Faculty of Health Sciences, Universidad de Huánuco, Lima, Perú.
17Department of Pathology, Pontificia Universidad Católica de Chile, Santiago, Chile.
18Department of Basic Clinical Oncology, Faculty of Medicine, Universidad de Chile, Santiago, Chile.
19Department of Pathological Anatomy, Faculty of Medicine, Universidad de Chile, Santiago, Chile.
*Both authors contributed equally to this work.</t>
  </si>
  <si>
    <t>Biopreserv Biobank</t>
  </si>
  <si>
    <t>https://doi.org/10.1177/19475535251379990</t>
  </si>
  <si>
    <t xml:space="preserve"> 3-1</t>
  </si>
  <si>
    <t>AÑO 1 - 2023</t>
  </si>
  <si>
    <t>AÑO 2 -2024</t>
  </si>
  <si>
    <t>AÑO 3 -2025</t>
  </si>
  <si>
    <t>% Asociatividad</t>
  </si>
  <si>
    <t>Total publicaciones</t>
  </si>
  <si>
    <t>Pub. Asociativas</t>
  </si>
  <si>
    <t>PUBLICACIONES ASOCIATIVAS</t>
  </si>
  <si>
    <t>Rev. Gastroenterología del Perú</t>
  </si>
  <si>
    <t>Extracellular matrix protein signaling
promotes multi-step cancer vasculogenic
mimicry formation</t>
  </si>
  <si>
    <r>
      <t xml:space="preserve">Gabriel Mingo1, Andrés Valdivia1, Gema Nicolle Santander1,14, Nicole Babbitt1,14, Varina Aldana1, Javiera Pradenas1,
Pamela González1,14, Cristóbal Canales1,14, Jorge A. Toledo6,7,15, </t>
    </r>
    <r>
      <rPr>
        <b/>
        <sz val="8"/>
        <rFont val="Calibri"/>
        <family val="2"/>
        <scheme val="minor"/>
      </rPr>
      <t>Carolina Ibáñez2,8,9</t>
    </r>
    <r>
      <rPr>
        <sz val="8"/>
        <rFont val="Calibri"/>
        <family val="2"/>
        <scheme val="minor"/>
      </rPr>
      <t xml:space="preserve">, Francisco Nualart10,
Manuel Varas-Godoy5,11, Roger Gejman3, </t>
    </r>
    <r>
      <rPr>
        <b/>
        <sz val="8"/>
        <rFont val="Calibri"/>
        <family val="2"/>
        <scheme val="minor"/>
      </rPr>
      <t>Juan Carlos Roa3,9,14</t>
    </r>
    <r>
      <rPr>
        <sz val="8"/>
        <rFont val="Calibri"/>
        <family val="2"/>
        <scheme val="minor"/>
      </rPr>
      <t xml:space="preserve">, Andrea Ravasio4, Cristina Bertocchi1,12 and
</t>
    </r>
    <r>
      <rPr>
        <b/>
        <sz val="8"/>
        <rFont val="Calibri"/>
        <family val="2"/>
        <scheme val="minor"/>
      </rPr>
      <t>Gareth I. Owen</t>
    </r>
    <r>
      <rPr>
        <sz val="8"/>
        <rFont val="Calibri"/>
        <family val="2"/>
        <scheme val="minor"/>
      </rPr>
      <t>1,2,9,13,14*</t>
    </r>
  </si>
  <si>
    <t xml:space="preserve"> 3-2</t>
  </si>
  <si>
    <t>https://doi.org/10.1186/s12964-025-02428-0</t>
  </si>
  <si>
    <t>Cell Communication and Signaling</t>
  </si>
  <si>
    <t>1Department of Physiology, Faculty of Biological Sciences, Pontificia
Universidad Católica de Chile, Santiago, Chile
2Department of Hematology and Oncology, Faculty of Medicine,
Pontificia Universidad Católica de Chile, Santiago, Chile
3Department of Pathology, Faculty of Medicine, Pontificia Universidad
Católica de Chile, Santiago, Chile
4Institute for Biological and Medical Engineering, Schools of Engineering,
Medicine and Biological Sciences, Pontificia Universidad Católica de Chile,
Santiago, Chile
5Centro de Biología Celular y Biomedicina (CEBICEM), Facultad de
Ciencias, Universidad San Sebastián, Santiago, Chile
6Center for Advanced Clinical Research (CICA), Department of Neurology
&amp; Neurosurgery, Faculty of Medicine, Universidad de Chile, Santiago, Chile
7Advanced Scientific Equipment Network (REDECA), Faculty of Medicine,
Universidad de Chile, Santiago, Chile
8Fundación Oncomujer, Santiago, Chile
9Center for Cancer prevention and Control (FONDAP-CECAN), Pontificia
Universidad Católica de Chile, Santiago, Chile
10Faculty of Biological Sciences, NeuroCellT and Center For Advanced
Microscopy (CMA), University of Concepcion, Concepcion, Chile
11Centro Ciencia &amp; Vida, Fundación Ciencia &amp; Vida, Santiago, Chile
12Graduate School of Engineering Science, University of Osaka, Osaka,
Japan
13Advanced Center for Chronic Diseases (FONDAP-ACCDiS), Pontificia
Universidad Católica de Chile, Santiago, Chile
14Millennium Institute on Immunology and Immunotherapy,
Santiago 8331150, Chile
15Departamento de Ciencias de la Salud Universidad de Ayséén
Coyhaique, Coyhaique, Chile</t>
  </si>
  <si>
    <t>Actualizado por Carolina Cabrera:  16-10-2025</t>
  </si>
  <si>
    <t>hasta el 17 de octubre</t>
  </si>
  <si>
    <t>PUBLICACIONES NO ASOCIATIVAS</t>
  </si>
  <si>
    <t>WP 1-2</t>
  </si>
  <si>
    <t>WP 2-3</t>
  </si>
  <si>
    <t>WP 2-4</t>
  </si>
  <si>
    <t>AÑO 2 - 2024</t>
  </si>
  <si>
    <t>AÑO 3 - 2025</t>
  </si>
  <si>
    <t>WP 1-3</t>
  </si>
  <si>
    <t>WP 2-5</t>
  </si>
  <si>
    <t>WP 4-5</t>
  </si>
  <si>
    <t>WP 2-4-5</t>
  </si>
  <si>
    <t>al 15 de octubre 2025</t>
  </si>
  <si>
    <t>48 pub. Inf Avance 03-2025</t>
  </si>
  <si>
    <t>USD 2.787</t>
  </si>
  <si>
    <t xml:space="preserve"> 12-2025</t>
  </si>
  <si>
    <t>Lluis Quiñones</t>
  </si>
  <si>
    <t xml:space="preserve"> 13-2025</t>
  </si>
  <si>
    <t>USD 2172,97</t>
  </si>
  <si>
    <r>
      <t xml:space="preserve">Ulises Urzúa , </t>
    </r>
    <r>
      <rPr>
        <b/>
        <sz val="8"/>
        <color theme="1"/>
        <rFont val="Calibri"/>
        <family val="2"/>
        <scheme val="minor"/>
      </rPr>
      <t>Arnaldo Andrés Marín, Enrique Castellón</t>
    </r>
    <r>
      <rPr>
        <sz val="8"/>
        <color theme="1"/>
        <rFont val="Calibri"/>
        <family val="2"/>
        <scheme val="minor"/>
      </rPr>
      <t xml:space="preserve">  $ 3.224.953 (50%)</t>
    </r>
  </si>
  <si>
    <t>Actualización :  15 octubre 2025</t>
  </si>
  <si>
    <t>48 publicaciones informadas en Inf Avance 03-2025</t>
  </si>
  <si>
    <t>6 publicaciones financiadas (Fdos. 2025)</t>
  </si>
  <si>
    <t>6 publicaciones financiadas (Fdos.2025)</t>
  </si>
  <si>
    <t>Promedio JIF</t>
  </si>
  <si>
    <t>Instituciones Internacionales</t>
  </si>
  <si>
    <t>Instituciones Nacionales</t>
  </si>
  <si>
    <t>Presupuesto Año 1 - 2023</t>
  </si>
  <si>
    <t>Presupuesto Año 3 - 2025</t>
  </si>
  <si>
    <t>Presupuesto Año 2 - 2024</t>
  </si>
  <si>
    <t>Nr pub con otros WP</t>
  </si>
  <si>
    <t xml:space="preserve">Gastric cancer prevention in Latin America and the Caribbean. Chapter 3.2 </t>
  </si>
  <si>
    <t>Arnoldo Riquelme, M.Constanza Camargo</t>
  </si>
  <si>
    <t>Forma de citar</t>
  </si>
  <si>
    <t>Gastric cancer prevention in Latin America and the Caribbean. Chapter 3.2 (pags 91-107) 2025. Population-based Helicobacter pylori screen-and-treat strategies for gastric cancer prevention: guidance on implementation. Edited by Jun Young Park. IARC Working Group, Report Nr 12.  .</t>
  </si>
  <si>
    <t>Top 10%</t>
  </si>
  <si>
    <t>Amer J. of Gastroenterology</t>
  </si>
  <si>
    <t>Frontiers in Immunology</t>
  </si>
  <si>
    <t>|</t>
  </si>
  <si>
    <t xml:space="preserve"> </t>
  </si>
  <si>
    <t>Journal of Medical Internet Research</t>
  </si>
  <si>
    <t>Springer Nature Group:  Biological Research</t>
  </si>
  <si>
    <t>% Q1</t>
  </si>
  <si>
    <t>Impact of a curriculum reform in graduate students self-reported palliative care competencies</t>
  </si>
  <si>
    <r>
      <t xml:space="preserve">Mónica Grez A. MD (1) ; Alfredo Rodríguez-Nunez MD (1) ; Armando Maldonado-Morgado MD (1) ; Felipe Castro MD (2) ; Nicolás Orozco MD (2) ; Luciana Crispino MD (1) ; Francisca Villouta MD (1) ; Carolina Jaña MD(1) ; Ofelia Leiva-Vásquez MD (1) ; </t>
    </r>
    <r>
      <rPr>
        <b/>
        <sz val="8"/>
        <rFont val="Calibri"/>
        <family val="2"/>
        <scheme val="minor"/>
      </rPr>
      <t xml:space="preserve">Pedro E. Pérez-Cruz </t>
    </r>
    <r>
      <rPr>
        <sz val="8"/>
        <rFont val="Calibri"/>
        <family val="2"/>
        <scheme val="minor"/>
      </rPr>
      <t>MD MPH</t>
    </r>
  </si>
  <si>
    <t>(1) Section of Palliative Medicine, School of Medicine, Pontificia Universidad Católica de
Chile (UC|Chile), Santiago, Chile.
(2) Students, School of Medicine, UC|Chile, Santiago, Chile.
(3) Center for Cancer Prevention and Control (CECAN).</t>
  </si>
  <si>
    <t>Journal of Pain and Sumptom Management</t>
  </si>
  <si>
    <t>Potential Impact of Compound Bayesian Inference in Medicine:
Application to Colonoscopy Prioritization</t>
  </si>
  <si>
    <t>Pierre Collet 1,2,3,*, Felipe Quezada-Diaz 2,3 and Carla Taramasco 1,2,3</t>
  </si>
  <si>
    <t>ITISB, Facultad de Ingeniería, Universidad Andres Bello, Viña del Mar, Chile 2520000, Chile; pierre.collet@
unab.cl, c1arla.taramasco@unab.cl
2 Unidad de Coloproctología. Servicio de Cirugía. Complejo Asistencial Doctor Sotero del Rio. Santiago
8550000, Chile; ffquezad@gmail.com
3 Centro para la Prevención y Control del Cáncer (CECAN)</t>
  </si>
  <si>
    <t xml:space="preserve"> 5-2</t>
  </si>
  <si>
    <r>
      <t xml:space="preserve">1 Laboratorio de Farmacología y Toxicología Molecular. Escuela de Química y Farmacia. Facultad de Química y de Farmacia. Pontificia Universidad Católica de Chile, Santiago, Chile. 2 Programa de Farmacología y Toxicología. Facultad de Medicina. Pontificia Universidad Católica de Chile, Santiago, Chile. 3 Laboratorio de Oncología Celular y Molecular. Departamento de Oncología Básico-Clínica. Facultad de Medicina. Universidad de Chile, Santiago, Chile. 4 Departamento de Tecnología Médica. Facultad de Medicina. Universidad de Chile, Santiago, Chile. 5 </t>
    </r>
    <r>
      <rPr>
        <b/>
        <sz val="8"/>
        <color theme="1"/>
        <rFont val="Calibri"/>
        <family val="2"/>
        <scheme val="minor"/>
      </rPr>
      <t>Escuela de Tecnología Médica. Universidad Austral de Chile, Puerto Montt,</t>
    </r>
    <r>
      <rPr>
        <sz val="8"/>
        <color theme="1"/>
        <rFont val="Calibri"/>
        <family val="2"/>
        <scheme val="minor"/>
      </rPr>
      <t xml:space="preserve"> Chile. 6 Centro para la Prevención y el Control del Cáncer (CECAN), Santiago, Chile. 7 Departamento de Laboratorios Clínicos. Facultad de Medicina. Pontificia Universidad Católica de Chile, Santiago, Chile.</t>
    </r>
  </si>
  <si>
    <t>1 Statistical Genetics Research Group, Institute of Medical Biometry, Heidelberg University, Im Neuenheimer
Feld 130.3, 69120 Heidelberg, Germany; boekstegers@imbi.uni-heidelberg.de (F.B.);
scherer@imbi.uni-heidelberg.de (D.S.); barahona@imbi.uni-heidelberg.de (C.B.P.);
garate@imbi.uni-heidelberg.de (V.G.-C.)
2 Health Institute Carlos III (ISCIII), 28029 Madrid, Spain
3 Department of Basic and Clinical Oncology, Center for Cancer Prevention and Control (CECAN), Medical
Faculty, University of Chile, Santiago 380000, Chile; kmarcelain@uchile.cl (K.M.); obarajas@hcuch.cl (O.B.)
4 Research Unit of Molecular Epidemiology and Institute of Epidemiology, Helmholtz Zentrum München,
German Research Center for Environmental Health, 85764 Neuherberg, Germany;
waldenberger@helmholtz-muenchen.de
5 Hospital Regional de Talca, Talca 3460000, Chile; emoralesm@hospitaldetalca.cl (E.M.);
cmunozc@hospitaldetalca.cl (C.M.)
6 Facultad de Medicina, Universidad Católica del Maule, Talca 3460000, Chile; arojasr@ucm.cl
7 Instituto Nacional del Cáncer, Santiago 7500650, Chile; jretamales@gocchi.org
8 Hospital de Puerto Montt, Puerto Montt 5480000, Chile; gonzalo.detoro@uach.cl (G.d.T.);
allan.vera@araucanianorte.cl (A.V.K.)
9 Escuela de Tecnología Médica, Universidad Austral de Chile sede Puerto Montt, Puerto Montt 5480000, Chile
10 Hospital Clínico Universidad de Chile, Santiago 8380456, Chile
11 Hospital del Salvador, Santiago 7500922, Chile; mrivera@hsalvador.cl (M.T.R.); acortes@hsalvador.cl (A.C.)
12 Hospital Padre Hurtado, Santiago 8880456, Chile; dloader@hurtadohosp.cl (D.L.);
javiera.saavedra@hurtadohosp.cl (J.S.)
13 Hospital San Juan de Dios, Santiago 8320000, Chile; lorenaf.gutierrez@redsalud.gob.cl
14 Hospital Regional, Arica 1000000, Chile; alejandro.ortega@hjnc.cl
15 Unidad Registro Hospitalario de Cáncer, Hospital Base de Valdivia, Valdivia 5090146, Chile;
enriqueta.bertran@redsalud.gov.cl
16 Hospital Base de Valdivia, Valdivia 5090146, Chile; leonardo.bartolotti@redsalud.gob.cl
17 Hospital San Borja Arriarán, Santiago 8320000, Chile; gablerf@uchile.cl (F.G.);
monicam.camposm@redsalud.gob.cl (M.C.)
18 Hospital Regional Guillermo Grant Benavente, Concepción 4070386, Chile; jualvarado@udec.cl (J.A.);
fabriziomoisan@udec.cl (F.M.); mspencer@udec.cl (L.S.)
19 Department of Hematology and Oncology, Center for Cancer Prevention and Control (CECAN), School of
Medicine, Pontificia Universidad Católica de Chile, Santiago 8330077, Chile; bnervi@uc.cl
20 Facultad de Medicina, Clínica Alemana Universidad del Desarrollo, Santiago 7650568, Chile;
carvajalh.daniel@gmail.com
21 Departamento de Cirugía, Universidad de La Frontera, Temuco 4780000, Chile; hector.losada@ufrontera.cl
22 Hospital de Rancagua, Rancagua 2820000, Chile; halmau@clinicaisamedica.cl (M.A.);
pfernandez@clinicaisamedica.cl (P.F.)
23 Department of Biochemistry and Physiology, Faculty of Pharmacy and Food Sciences, University of
Barcelona, 08007 Barcelona, Spain; jordiolloquequi@ub.edu
24 Facultad de Ciencias de la Salud, Universidad Autónoma de Chile, Talca 3460000, Chile
25 Instituto de Alta Investigación, Tarapacá University, Arica 1000000, Chile; psalinas@gestion.uta.cl
26 Laboratory of Biostatistics for Precision Oncology, Institut de Cancérologie Strasbourg Europe,
67200 Strasbourg, France</t>
  </si>
  <si>
    <r>
      <t xml:space="preserve">Karen Or´ostica a,**, Felipe Mardones a, Yanara A. Bernal b, Samuel Molina c, Marcos Orchard c,
Ricardo A. Verdugo a,d, Daniel Carvajal-Hausdorf e, </t>
    </r>
    <r>
      <rPr>
        <b/>
        <sz val="8"/>
        <rFont val="Calibri"/>
        <family val="2"/>
        <scheme val="minor"/>
      </rPr>
      <t>Katherine Marcelain</t>
    </r>
    <r>
      <rPr>
        <sz val="8"/>
        <rFont val="Calibri"/>
        <family val="2"/>
        <scheme val="minor"/>
      </rPr>
      <t xml:space="preserve"> d,f, Seba Contreras g,*,
Ricardo Armisen</t>
    </r>
  </si>
  <si>
    <t>a Facultad de Medicina, Universidad de Talca, Talca, Chile
b Centro de Gen´etica y Gen´omica, Instituto de Ciencias e Innovaci´on en Medicina, Facultad de Medicina Clínica Alemana Universidad del Desarrollo, Santiago, Chile
c Department of Electrical Engineering, Faculty of Physical and Mathematical Sciences, University of Chile, Av. Tupper 2007, Casilla 412-3, Santiago, 8370451, Chile
d Departamento de Oncología B´asico Clínica, Facultad de Medicina, Universidad de Chile, Santiago, Chile
e Anatomia Patol´ogica, Clinica Alemana, Facultad de Medicina Universidad del Desarrollo, Santiago, Chile
f Centro Para La Prevenci´on y el Control del C´ancer, Universidad de Chile, Santiago, Chile
g Max Planck Institute for Dynamics and Self-Organization, G¨ottingen, Germany</t>
  </si>
  <si>
    <r>
      <t xml:space="preserve">a Facultad de Medicina, Universidad de Talca, Talca, Chile
b Centro de Gen´etica y Gen´omica, Instituto de Ciencias e Innovaci´on en Medicina, Facultad de Medicina Clínica Alemana Universidad del Desarrollo, Santiago, Chile
c Department of Electrical Engineering, Faculty of Physical and Mathematical Sciences, University of Chile, Av. Tupper 2007, Casilla 412-3, Santiago, 8370451, Chile
d Departamento de Oncología B´asico Clínica, Facultad de Medicina, Universidad de Chile, Santiago, Chile
e Anatomia Patol´ogica, Clinica Alemana, Facultad de Medicina Universidad del Desarrollo, Santiago, Chile
f Centro Para La Prevenci´on y el Control del C´ancer, Universidad de Chile, Santiago, Chile
g </t>
    </r>
    <r>
      <rPr>
        <b/>
        <sz val="8"/>
        <rFont val="Calibri"/>
        <family val="2"/>
        <scheme val="minor"/>
      </rPr>
      <t>Max Planck Institute for Dynamics and Self-Organization, G¨ottingen, Germany</t>
    </r>
  </si>
  <si>
    <t>Cancer Letters</t>
  </si>
  <si>
    <t>https://doi.org/10.1016/j.canlet.2024.217348</t>
  </si>
  <si>
    <t>INFORMADO A ANID - INFORME DE AVANCE NR. 4</t>
  </si>
  <si>
    <t xml:space="preserve"> 14-2025</t>
  </si>
  <si>
    <t>Basic-Clinical Analysis of Parathyroid Cancer</t>
  </si>
  <si>
    <r>
      <t xml:space="preserve">Lucas Fuenzalida 1,2,3,† , </t>
    </r>
    <r>
      <rPr>
        <b/>
        <sz val="8"/>
        <rFont val="Calibri"/>
        <family val="2"/>
        <scheme val="minor"/>
      </rPr>
      <t>Sebastián Indo 3,4,†, Héctor R. Contreras</t>
    </r>
    <r>
      <rPr>
        <sz val="8"/>
        <rFont val="Calibri"/>
        <family val="2"/>
        <scheme val="minor"/>
      </rPr>
      <t xml:space="preserve"> 3,4,5 , Daniel Rappoport 2 and Patricio Cabané</t>
    </r>
  </si>
  <si>
    <t>1 Doctorate in Medical Sciences and Clinical Specialty Program, Postgraduate School, Faculty of Medicine,
University of Chile, Santiago 8320328, Chile; lucas.fuenzalida@ug.uchile.cl
2 Department of Surgery, Clinical Hospital—University of Chile, Santiago 8320328, Chile; rappoport@uchile.cl
3 Laboratory of Cellular and Molecular Oncology, Department of Basic and Clinical Oncology,
Faculty of Medicine, University of Chile, Santiago 8320328, Chile; srindo.cofre@gmail.com (S.I.);
hcontrer@uchile.cl (H.R.C.)
4 Department of Medical Technology, Faculty of Medicine, University of Chile, Santiago 8320328, Chile
5 Center for Cancer Prevention and Control (CECAN), Santiago 8380453, Chile
6 Department of Surgery, Faculty of Medicine, Universidad Andres Bello, Santiago 7501015, Chile
7 Department of Head and Neck Surgery, Clinca INDISA, Santiago 7520440, Chile</t>
  </si>
  <si>
    <t>Biomedicines</t>
  </si>
  <si>
    <r>
      <rPr>
        <b/>
        <sz val="8"/>
        <rFont val="Calibri"/>
        <family val="2"/>
        <scheme val="minor"/>
      </rPr>
      <t>Johanna Acevedo</t>
    </r>
    <r>
      <rPr>
        <sz val="8"/>
        <rFont val="Calibri"/>
        <family val="2"/>
        <scheme val="minor"/>
      </rPr>
      <t xml:space="preserve">, Teresa Ip, Lea Maureira, </t>
    </r>
    <r>
      <rPr>
        <b/>
        <sz val="8"/>
        <rFont val="Calibri"/>
        <family val="2"/>
        <scheme val="minor"/>
      </rPr>
      <t>Cesar Sanchez</t>
    </r>
    <r>
      <rPr>
        <sz val="8"/>
        <rFont val="Calibri"/>
        <family val="2"/>
        <scheme val="minor"/>
      </rPr>
      <t xml:space="preserve">, Claudia Osorio, Claudia Carvajal, Rafael Araosa, Hernan Letelier, </t>
    </r>
    <r>
      <rPr>
        <b/>
        <sz val="8"/>
        <rFont val="Calibri"/>
        <family val="2"/>
        <scheme val="minor"/>
      </rPr>
      <t>Francisco Acevedo</t>
    </r>
    <r>
      <rPr>
        <sz val="8"/>
        <rFont val="Calibri"/>
        <family val="2"/>
        <scheme val="minor"/>
      </rPr>
      <t>, Tomas Merino</t>
    </r>
  </si>
  <si>
    <t>aInstituto de Ciencias e Innovación en Medicina, ICIM, Facultad de Medicina Clínica Alemana Universidad del Desarrollo, Santiago, Chile;
bCentro para la Prevención y Control del Cáncer (CECAN), Santiago, Chile; cServicio de Radioterapia, Hospital Regional de Talca, Talca, Chile;
dFacultad de Medicina, Pontificia Universidad Católica de Chile, Santiago, Chile; eServicio de Radioterapia, Instituto Nacional del Cáncer,
Santiago, Chile; fServicio de Radioterapia, Clínica Alemana de Santiago, Santiago, Chile; gThe GENomic Epidemiology in Emergent Diseases
project (GENE2DIS), Santiago, Chile; hServicio de Radioterapia, Fundación Arturo López Pérez, Santiago, Chile</t>
  </si>
  <si>
    <t>https://DOI.org/10.5867/medwave.2025.03.3033</t>
  </si>
  <si>
    <t>https://doi.org/10.3390/biomedicines13030687</t>
  </si>
  <si>
    <t>NF</t>
  </si>
  <si>
    <t>Are we ready? assessing effectiveness and implementation of cancer control strategies in primary care: a comprehensive review of systematic reviews</t>
  </si>
  <si>
    <t>1Department of Family and Community Medicine, School of Medicine, Pontificia Universidad Católica de Chile, Vicuña Mackenna 4860, Macul,
Santiago, Región Metropolitana, 7820436, Chile
2Centre for Cancer Research and Department of General Practice, University of Melbourne, 780 Elizabeth St, Melbourne Victoria 3010, Australia
3Center for Cancer Prevention and Control (CECAN), ANID FONDAP ID 152220002, Avda. Libertador Bernando O'Higgins 340, Santiago, 3580000 Chile
4School of Public Health, Pontificia Universidad Católica de Chile, Avda. Libertador Bernando O’Higgins 340, Santiago, 3580000 Chile
5Department of Hematology and Oncology, School of Medicine, Pontificia Universidad Católica de Chile, Avda. Libertador Bernando O’Higgins
340, Santiago, 3580000 Chile
6The Primary Care Unit, University of Cambridge, Forvie Site, Robinson Way, Cambridge CB2 0SR, United Kingdom</t>
  </si>
  <si>
    <r>
      <rPr>
        <b/>
        <sz val="8"/>
        <rFont val="Calibri"/>
        <family val="2"/>
        <scheme val="minor"/>
      </rPr>
      <t>Javiera Martinez-Gutierrez , María Gabriela Soto, Andrea Rioseco, Catalina Bienzobas,Madeline Fowler, Gonzalo Ulloa, Mauricio Soto</t>
    </r>
    <r>
      <rPr>
        <sz val="8"/>
        <rFont val="Calibri"/>
        <family val="2"/>
        <scheme val="minor"/>
      </rPr>
      <t xml:space="preserve">, Jon David Emery, </t>
    </r>
    <r>
      <rPr>
        <b/>
        <sz val="8"/>
        <rFont val="Calibri"/>
        <family val="2"/>
        <scheme val="minor"/>
      </rPr>
      <t>Klaus Puschel</t>
    </r>
  </si>
  <si>
    <t>Family Practice</t>
  </si>
  <si>
    <t>https://doi.org/10.1093/fampra/cmae078</t>
  </si>
  <si>
    <r>
      <t xml:space="preserve">José Darío Portillo-Miño, Jhon Jairo Calderon, and </t>
    </r>
    <r>
      <rPr>
        <b/>
        <sz val="8"/>
        <rFont val="Calibri"/>
        <family val="2"/>
        <scheme val="minor"/>
      </rPr>
      <t>Arnoldo Riquelme</t>
    </r>
  </si>
  <si>
    <t>https://doi.org/10.1016/j.omton.2025.200935</t>
  </si>
  <si>
    <t>1Infectious Diseases and Cancer Research Group (GINFYCA), Clinical Research Center, Fundación Hospital San Pedro, Pasto, Nariño, Colombia; 2Colombian Research Group on Helicobacter pylori, Bogota, Colombia; 3Grupo de Inmunobiologia y Biologia Celular, Facultad de Ciencias, Pontificia Universidad Javeriana, Bogota, Colombia; 4Department of Gastroenterology, Faculty of Medicine, Pontifical Catholic University of Chile, Santiago, Chile; 5Centro para el Control y Prevencion del Cancer (CECAN), Santiago, Chile</t>
  </si>
  <si>
    <r>
      <t xml:space="preserve">Dan Li, MD1, Douglas R. Morgan, MD, MPH, FACG, Juan E. Corral, MD, Elizabeth A. Montgomery, MD, </t>
    </r>
    <r>
      <rPr>
        <b/>
        <sz val="8"/>
        <rFont val="Calibri"/>
        <family val="2"/>
        <scheme val="minor"/>
      </rPr>
      <t>Arnoldo Riquelme, MD</t>
    </r>
    <r>
      <rPr>
        <sz val="8"/>
        <rFont val="Calibri"/>
        <family val="2"/>
        <scheme val="minor"/>
      </rPr>
      <t xml:space="preserve"> and Shailja C. Shah, MD, MPH</t>
    </r>
  </si>
  <si>
    <t>Molecular Therapy Oncology</t>
  </si>
  <si>
    <t>https://doi.org/10.14309/ajg.0000000000003301</t>
  </si>
  <si>
    <t>1Department of Gastroenterology, Kaiser Permanente Medical Center, Santa Clara, California, USA; 2Kaiser Permanente Northern California Division of Research,
Oakland, California, USA; 3Division of Gastroenterology, The University of Alabama at Birmingham, Birmingham, Alabama, USA; 4Division of Gastroenterology,
Prisma Health, Greenville, South Carolina, USA; 5Department of Pathology, University of Miami Miller School of Medicine, Miami, Florida, USA; 6Department of
Gastroenterology, Faculty ofMedicine, Pontificia Universidad Cato´ lica de Chile, Center for Control and Prevention of Cancer (CECAN), Santiago, Chile; 7Division of
Gastroenterology, University of California, San Diego, La Jolla, California, USA; 8Gastroenterology Section, Jennifer Moreno Department of Veterans Affairs Medical
Center, La Jolla, California, USA.</t>
  </si>
  <si>
    <t>Global determinants of gynecologic cancer incidence and
mortality: A cluster-based
analysis with predictive insights</t>
  </si>
  <si>
    <r>
      <rPr>
        <b/>
        <sz val="8"/>
        <rFont val="Calibri"/>
        <family val="2"/>
        <scheme val="minor"/>
      </rPr>
      <t>Mauricio A. Cuello</t>
    </r>
    <r>
      <rPr>
        <sz val="8"/>
        <rFont val="Calibri"/>
        <family val="2"/>
        <scheme val="minor"/>
      </rPr>
      <t>, Fernán Gomez-Valenzuela, | Ignacio Wichmann, Alexander B. Olawaiye</t>
    </r>
  </si>
  <si>
    <t>1Department of Gynecology, School of
Medicine, Pontificia Universidad Católica
de Chile (PUC), Santiago, Chile
2Gynecologic Oncology Unit, Hospital
Clínico Universidad Católica, UC-Christus
Health Network, Santiago, Chile
3Center for Cancer Prevention and
Control (CECAN), Santiago, Chile
4Precision Oncology Center, School of
Medicine, Universidad Mayor, Santiago,
Chile
5Department of Obstetrics, School of
Medicine, Pontificia Universidad Católica
de Chile, Santiago, Chile
6Division of Oncology, Department of
Medicine, Stanford University School of
Medicine, Stanford, California, USA
7Division of Gynecologic Oncology,
Department of Obstetrics, Gynecology
and Reproductive Sciences, University of
Pittsburgh School of Medicine, Pittsburgh,
Pennsylvania, USA</t>
  </si>
  <si>
    <t>Int J Gynecol Obstet</t>
  </si>
  <si>
    <t>https://doi.org/10.1002/ijgo.70279.</t>
  </si>
  <si>
    <t>https://doi.org/10.1016/j.crmicr.2025.100440</t>
  </si>
  <si>
    <t>Current Research in Microbial Sciences</t>
  </si>
  <si>
    <t>a Departamento de Enfermedades Infecciosas e Inmunología Pedi´atricas, Facultad de Medicina, Pontificia Universidad Cat´olica de Chile, Santiago, Chile
b Red Salud UC-CHRISTUS, Laboratorio de Infectología y Virología Molecular, Santiago, Chile
c Departamento de Hematología y Oncología, Facultad de Medicina, Pontificia Universidad Cat´olica de Chile, Santiago, Chile
d Centro para la Prevenci´on y Control del C´ancer (CECAN), Santiago, Chile
e Laboratorio de Virología Molecular y Celular, Programa de Virología, Instituto de Ciencias Biom´edicas, Facultad de Medicina, Universidad de Chile, Santiago, Chile
f Millennium Institute on Immunology and Immunotherapy, Facultad de Ciencias Biol´ogicas, Facultad de Medicina, Pontificia Universidad Cat´olica de Chile, Santiago,
Chile
g Departamento de Enfermedades Infecciosas del Adulto, Facultad de Medicina, Pontificia Universidad Cat´olica de Chile, Santiago, Chile
h Departamento de Medicina Interna, Programa de Farmacología y Toxicología, Facultad de Medicina, Pontificia Universidad Cat´olica de Chile, Santiago, Chile
i Departamento de Endocrinología, Facultad de Medicina, Pontificia Universidad Cat´olica de Chile, Santiago, Chile
j Center for Infectious Disease and Vaccine Research, La Jolla Institute for Immunology, La Jolla, CA 92037, USA
A</t>
  </si>
  <si>
    <r>
      <t xml:space="preserve">Aldo Barrera, Constanza Martínez-Valdebenito, </t>
    </r>
    <r>
      <rPr>
        <b/>
        <sz val="8"/>
        <rFont val="Calibri"/>
        <family val="2"/>
        <scheme val="minor"/>
      </rPr>
      <t>Bruno Nervi</t>
    </r>
    <r>
      <rPr>
        <sz val="8"/>
        <rFont val="Calibri"/>
        <family val="2"/>
        <scheme val="minor"/>
      </rPr>
      <t>, Aracelly Gaete-Argel, Nicolas M.S. G´alvez, Catalina Osses, Cecilia Vizcaya,María E. Ceballos, Jaime Pereira, Mayling Chang, Luis Rojas, Sebastian Mondaca, Carolina Henríquez, Alexis M. Kalergis, Alessandro Sette, Alba Grifoni, Ricardo Soto-Rifo, Fernando Valiente-Echeverría, Marcela Ferres, María E. Balcells,
Nicole Le Corre a</t>
    </r>
  </si>
  <si>
    <t>Re-evaluating prognostic indicators: The critical role of body composition and gene expression in endometrial cancer outcomes</t>
  </si>
  <si>
    <r>
      <rPr>
        <b/>
        <sz val="8"/>
        <rFont val="Calibri"/>
        <family val="2"/>
        <scheme val="minor"/>
      </rPr>
      <t>Mauricio A. Cuello</t>
    </r>
    <r>
      <rPr>
        <sz val="8"/>
        <rFont val="Calibri"/>
        <family val="2"/>
        <scheme val="minor"/>
      </rPr>
      <t xml:space="preserve">, Fernán Gómez-Valenzuela, Enrique Ossandón, Ignacio Wichmann, Elisa Orlandini, Nicolás Sáez, Jorge Brañes, Sumie Kato, </t>
    </r>
    <r>
      <rPr>
        <b/>
        <sz val="8"/>
        <rFont val="Calibri"/>
        <family val="2"/>
        <scheme val="minor"/>
      </rPr>
      <t>Carolina Ibañez</t>
    </r>
  </si>
  <si>
    <t>1Department of Gynecology, School of
Medicine, Pontificia Universidad Católica
de Chile (PUC), Santiago, Chile
2Gynecologic Oncology Unit, Hospital
Clínico Universidad Católica, UC-Christus
Health Network, Santiago, Chile
3Center for Cancer Prevention and
Control (CECAN), Santiago, Chile
4Advanced Center for Chronic Diseases
(ACCDiS), Santiago, Chile
5Precision Oncology Center, School of
Medicine, Universidad Mayor, Santiago,
Chile
6Department of Obstetrics, School of
Medicine, Pontificia Universidad Católica
de Chile, Santiago, Chile
7Division of Oncology, Department of
Medicine, Stanford University School of
Medicine, Stanford, California, USA
8Department of Hematology and
Oncology, School of Medicine, Pontificia
Universidad Católica de Chile (PUC),
Santiago, Chile</t>
  </si>
  <si>
    <t>https:/DOI.org/10.1002/ijgo.70016</t>
  </si>
  <si>
    <t>OLGA and OLGIM staging systems on the risk
assessment of gastric cancer: a systematic
review and meta‑analysis of prospective
cohorts</t>
  </si>
  <si>
    <r>
      <t xml:space="preserve">Harold Benites-Goñi , Dacio Cabrera-Hinojosa , Gonzalo Latorre, Adrian V. Hernandez, Hugo Uchima and </t>
    </r>
    <r>
      <rPr>
        <b/>
        <sz val="8"/>
        <rFont val="Calibri"/>
        <family val="2"/>
        <scheme val="minor"/>
      </rPr>
      <t>Arnoldo Riquelme</t>
    </r>
  </si>
  <si>
    <t>Therapeutic Advances in
Gastroenterology</t>
  </si>
  <si>
    <t>https://DOI.org/10.1177/17562848251325461</t>
  </si>
  <si>
    <t>Harold Benites-Goñi
Unidad de Revisiones
Sistemáticas y Metaanálisis,
Universidad San
Ignacio de Loyola, Avenida
La Fontana 550, 15024,
Lima, Peru
Department of
Gastroenterology,
Hospital Nacional Edgardo
Rebagliati Martins, Lima,
Peru
hbenites@usil.edu.pe
Dacio Cabrera-Hinojosa
Department of
Gastroenterology, Hospital
Nacional Dos de Mayo,
Lima, Peru
Gonzalo Latorre
Department of
Gastroenterology,
Pontificia Universidad
Católica de Chile,
Santiago, Chile
Adrian V. Hernandez
Unidad de Revisiones
Sistemáticas y Metaanálisis,
Universidad San
Ignacio de Loyola, Lima,
Peru
Health Outcomes, Policy
and Evidence Synthesis
Group, University of
Connecticut School of
Pharmacy, Storrs, CT, USA
Hugo Uchima
Endoscopy Unit,
Teknon Medical Center,
Barcelona, Spain
Endoscopy Unit,
Gastroenterology
Department, Hospital
Universitari Germans Trias
i Pujol, Badalona, Spain
Arnoldo Riquelme
Department of
Gastroenterology,
Pontificia Universidad
Católica de Chile,
Santiago, Chile
Centro para la Prevención
y el Control del Cáncer,
Santiago, Chile</t>
  </si>
  <si>
    <t>Susana Mondschein (sale de su ppto WP4)</t>
  </si>
  <si>
    <t>USD 3255,52</t>
  </si>
  <si>
    <t>6 financiadas (100%)   1 financiadas (50%)</t>
  </si>
  <si>
    <t>Advances in machine learning for tumour classification in cancer of unknown primary: A mini-review</t>
  </si>
  <si>
    <t>The mutational landscape and actionable targets of gallbladder cancer: an ancestry-informed and comparative analysis of a Chilean population</t>
  </si>
  <si>
    <t>https://DOI.org/10.3389/fonc.2025.1658528</t>
  </si>
  <si>
    <t>1Departamento de Oncolog´ıa Ba´ sico Cl´ınico, Facultad de Medicina, Universidad de Chile,
Santiago, Chile, 2Centro de Gene´ tica y Geno´ mica, Instituto de Ciencias e Innovacio´ n en Medicina,
Facultad de Medicina Cl´ınica Alemana, Universidad del Desarrollo, Santiago, Chile, 3Departamento de
Tecnolog´ıa Me´ dica, Facultad de Medicina, Universidad de Chile, Santiago, Chile, 4Statistical Genetics
Research Group, Institute of Medical Biometry, Heidelberg University, Heidelberg, Germany,
5Corporación de Fomento de la Producción (CORFO) Center of Excellence in Precision Medicine,
Pfizer Chile, Santiago, Chile, 6Centro de Informa´ tica Me´ dica y Telemedicina, Facultad de Medicina,
Universidad de Chile, Santiago, Chile, 7Centro para la Prevencio´ n y el Control del Ca´ ncer, Centro para
la Prevención y el Control del Cáncer (CECAN), Universidad de Chile, Santiago, Chile, 8Departamento
de Anatom´ıa Patolo´ gica, Hospital Cl´ınico de la Universidad de Chile, Santiago, Chile, 9Departamento
de Medicina Interna, Hospital Cl´ınico de la Universidad de Chile, Santiago, Chile, 10Department of
Pathology, Hospital Padre Hurtado, Santiago, Chile, 11Department of Pathology, Hospital Cl´ınico
Regional Guillermo Grant Benavente, Concepcio´ n, Chile, 12School of Medical Technology,
Universidad Austral de Chile at Puerto Montt, Puerto Montt, Chile, 13Department of Pathology,
Hospital Regional de Talca, Talca, Chile, 14Department of Preclinical Sciences, Faculty of Medicine,
Universidad Cato´ lica del Maule, Talca, Chile, 15Department of Pathology, Hospital San Juan de Dios,
Santiago, Chile</t>
  </si>
  <si>
    <t>Referral Criteria for Specialist Palliative Care for Patients With Dementia</t>
  </si>
  <si>
    <r>
      <t xml:space="preserve">Yuchieh Kathryn Chang 1, Jennifer Philip 2 3 4, Jenny T van der Steen 5 6, Lieve Van den Block 7, Allyn Yin Mei Hum 8 9, </t>
    </r>
    <r>
      <rPr>
        <b/>
        <sz val="8"/>
        <rFont val="Calibri"/>
        <family val="2"/>
        <scheme val="minor"/>
      </rPr>
      <t>Pedro E Pérez-Cruz</t>
    </r>
    <r>
      <rPr>
        <sz val="8"/>
        <rFont val="Calibri"/>
        <family val="2"/>
        <scheme val="minor"/>
      </rPr>
      <t xml:space="preserve"> 10 11, Carlos Paiva 12, Masanori Mori 13, Ping-Jen Chen 14 15 16, Meera R Agar 17, Laura Hanson 18, Catherine J Evans 19, David Hui 1</t>
    </r>
  </si>
  <si>
    <t>1Department of Palliative Care, Rehabilitation and Integrative Medicine, University of Texas MD Anderson Cancer Center, Houston.
2Department of Medicine, University of Melbourne, Fitzroy, Australia.
3Department of Palliative Care, St Vincent's Hospital Melbourne, Fitzroy, Australia.
4Department of Palliative Care, Peter MacCallum Cancer Centre, Melbourne, Australia.
5Department of Public Health and Primary Care, Leiden University Medical Center, Leiden, the Netherlands.
6Department of Primary and Community Care and Radboudumc Alzheimer Center, Nijmegen, the Netherlands.
7VUB-UGent End-of-Life Care Research Group, Department of Family Medicine and Chronic Care, Vrije Universiteit Brussel, Brussels, Belgium.
8Department of Palliative Medicine, Tan Tock Seng Hospital, Singapore.
9The Palliative Care Centre for Excellence in Research and Education, Dover Park Hospice, Singapore.
10Sección de Medicina Paliativa, Escuela de Medicina, Pontificia Universidad Católica de Chile, Santiago, Chile.
11Centro para el Control y la Prevención del Cáncer, Santiago, Chile.
12Department of Clinical Oncology, Barretos Cancer Hospital, Barretos, São Paulo, Brazil.
13Division of Palliative and Supportive Care, Seirei Mikatahara General Hospital, Hamamatsu, Shizuoka, Japan.
14Department of Family Medicine and Division of Geriatrics and Gerontology, Kaohsiung Medical University Hospital, Kaohsiung, Taiwan.
15National Center for Geriatrics and Welfare Research, National Health Research Institutes, Miaoli, Taiwan.
16School of Medicine, College of Medicine, National Sun Yat-sen University, Kaohsiung, Taiwan.
17IMPACCT, Faculty of Health, University of Technology Sydney, Sydney, Australia.
18Division of Geriatric Medicine and Palliative Care Program, University of North Carolina at Chapel Hill.
19Cicely Saunders Institute of Palliative Care, Policy and Rehabilitation, King's College London, London, United Kingdom.</t>
  </si>
  <si>
    <r>
      <t xml:space="preserve">Sandro Casavilca-Zambrano, Juan Contreras-Mancilla, Dany Córdova, </t>
    </r>
    <r>
      <rPr>
        <b/>
        <sz val="8"/>
        <rFont val="Calibri"/>
        <family val="2"/>
        <scheme val="minor"/>
      </rPr>
      <t xml:space="preserve">Alicia Colombo, </t>
    </r>
    <r>
      <rPr>
        <sz val="8"/>
        <rFont val="Calibri"/>
        <family val="2"/>
        <scheme val="minor"/>
      </rPr>
      <t>Jorge Honles, María Teresa García de Dávila, Milagros Abad-Licham, María López, Tatiana Vidaurre, Duniska Tarco, Gustavo Sarria, Francisco Berrospi, Elodie Caboux, Zisis Kozlakidis, and Stéphane Bertani</t>
    </r>
  </si>
  <si>
    <t>1Banco Nacional de Tumores, Instituto Nacional de Enfermedades Neoplásicas, Lima, Peru.
2International Joint Laboratory of Molecular Anthropological Oncology (LOAM), INEN, IRD, Lima, Peru.
3Facultad de Ciencias de la Salud Universidad de Huánuco, Lima, Peru.
4Servicio de Anatomía Patológica, Hospital Clinico de la Universidad de Chile, Santiago, Chile.
5Departamento de Oncología Básico Clínico, Facultad de Medicina, Universidad de Chile, Santiago, Chile.
6Centro para la Prevención y el Control del Cáncer (CECAN), Santiago, Chile.
7UMR 152 PHARMADEV, Université de Toulouse, IRD, UPS, Toulouse, France.
8Fundación de Pediatría Garrahan, Buenos Aires, Argentina.
9Hospital Británico, Buenos Aires, Argentina.
10Escuela de Medicina Humana Universidad Privada Antenor Orrego, Trujillo, Peru.
11Departamento de Patología, Instituto Regional de Enfermedades Neoplásicas Norte “Dr. Luis Pinillos Ganoza,” Trujillo, Peru.
12Departamento de Patología, Instituto Regional de Enfermedades Neoplásicas del Centro, Concepción, Peru.
13Instituto Nacional de Enfermedades Neoplásicas, Lima, Peru.
14International Agency for Research on Cancer, Lyon, France.
1</t>
  </si>
  <si>
    <t>Biopreservation and Biobanking</t>
  </si>
  <si>
    <t>Advancing Cancer Research Capability in Peru Through the Integration of Registries With Biobanks</t>
  </si>
  <si>
    <t xml:space="preserve">https://doi.org/10.1001/jamanetworkopen.2025.10298 </t>
  </si>
  <si>
    <t>https://doi.org/10.1089/bio.2024.0158</t>
  </si>
  <si>
    <t>Impact of a Curriculum Reform in Graduate Students Self-Reported Palliative Care Competencies</t>
  </si>
  <si>
    <t>https://doi.org/10.1016/j.jpainsymman.2025.10.003</t>
  </si>
  <si>
    <t>Beyond the Pandemic: End-of-Life Care Lessons from Latin America to Inform Future Health Emergencies</t>
  </si>
  <si>
    <r>
      <t xml:space="preserve">Mónica Grez-Artigues MD, Alfredo Rodríguez-Nunez MD, Armando Maldonado-Morgado MD, Felipe Castro MD, Nicolás Orozco MD, Luciana Crispino MD, Francisca Villouta MD, Carolina Jaña MD, Ofelia Leiva-Vásquez MD, MSc, </t>
    </r>
    <r>
      <rPr>
        <b/>
        <sz val="8"/>
        <rFont val="Calibri"/>
        <family val="2"/>
        <scheme val="minor"/>
      </rPr>
      <t>Pedro E. Pérez-Cruz</t>
    </r>
    <r>
      <rPr>
        <sz val="8"/>
        <rFont val="Calibri"/>
        <family val="2"/>
        <scheme val="minor"/>
      </rPr>
      <t xml:space="preserve"> MD, MPH</t>
    </r>
  </si>
  <si>
    <r>
      <t xml:space="preserve">Vilma A. Tripodoro, </t>
    </r>
    <r>
      <rPr>
        <b/>
        <sz val="8"/>
        <rFont val="Calibri"/>
        <family val="2"/>
        <scheme val="minor"/>
      </rPr>
      <t>Pedro Pérez-Cruz</t>
    </r>
    <r>
      <rPr>
        <sz val="8"/>
        <rFont val="Calibri"/>
        <family val="2"/>
        <scheme val="minor"/>
      </rPr>
      <t>, Marina Khoury, Martha Ximena León, José Mario López Saca, Verónica Veloso, Ángela Acero, Sebastián Soto-Guerrero, 
Marco Rodríguez, Michelle Uchida, Ida Korfage, Agnes van der Heide, CO-LIVE Latin America research group</t>
    </r>
  </si>
  <si>
    <t>1
RED-InPal Pallium Latinoamérica, Buenos Aires, Argentina.
2
ATLANTES, Global Observatory of Palliative Care, Institute of Culture and Society, University of Navarra, Spain
3
Medicina Paliativa, Facultad de Medicina, Pontificia Universidad Católica de Chile, Santiago de Chile, Chile
4
Centro para la Prevención y el Control del Cáncer, CECAN, Santiago, Chile
5
Instituto de Investigaciones Médicas Alfredo Lanari, Universidad de Buenos Aires, Argentina
6
Universidad de La Sabana, Bogotá, Colombia
7
Hospice La Cima, El Salvador
8
Barretos Cancer Hospital, Brazil
9
Erasmus Medical Centre, Rotterdam, The Netherlands</t>
  </si>
  <si>
    <t>https://doi.org/10.1016/j.jpainsymman.2025.10.016</t>
  </si>
  <si>
    <t>The evolution of serious health-related suffering from 1990 to 2021: an update to The Lancet Commission on global access to palliative care and pain relief</t>
  </si>
  <si>
    <r>
      <t xml:space="preserve">Felicia M Knaul, Héctor Arreola-Ornelas, Xiaoxiao J Kwete, Afsan Bhadelia, William E Rosa, Michael Touchton, Oscar Méndez-Carniado, Valentina Vargas Enciso, Tania Pastrana, Joseph R Friedman, Stephen R Connor, Julia Downing, Dean T Jamison, Eric L Krakauer, David Watkins, Renzo Calderon-Anyosa, Rodrigo Garcia-Santisteban, Renu S Nargund, Jim Cleary, Liliana De Lima, Nahla Gafer, Liz Grant, Christian Ntizimira, </t>
    </r>
    <r>
      <rPr>
        <b/>
        <sz val="8"/>
        <rFont val="Calibri"/>
        <family val="2"/>
        <scheme val="minor"/>
      </rPr>
      <t>Pedro E Pérez-Cruz</t>
    </r>
    <r>
      <rPr>
        <sz val="8"/>
        <rFont val="Calibri"/>
        <family val="2"/>
        <scheme val="minor"/>
      </rPr>
      <t>, M R Rajagopal, Dingle Spence, Paul Vila, Lukas Radbruch</t>
    </r>
  </si>
  <si>
    <t xml:space="preserve">1Department of Medicine, David Geffen School of Medicine, University of California, Los Angeles, CA, USA; University of Miami Institute for Advanced Study of the Americas, University of Miami, Coral Gables, FL, USA; Tómatelo a Pecho, AC, Mexico City, Mexico; Faculty of Excellence, Tecnológico de Monterrey, Mexico City, Mexico. Electronic address: fknaul@mednet.ucla.edu.
2University of Miami Institute for Advanced Study of the Americas, University of Miami, Coral Gables, FL, USA; Tómatelo a Pecho, AC, Mexico City, Mexico; Institute for Obesity Research, Tecnológico de Monterrey, Monterrey, Mexico; School of Government and Public Transformation, Tecnológico de Monterrey, Monterrey, Mexico; Fundación Mexicana para la Salud, Mexico City, México.
3University of Miami Institute for Advanced Study of the Americas, University of Miami, Coral Gables, FL, USA; Yangzhou Philosophy and Social Science Research and Communication Center, Yangzhou, China.
4University of Miami Institute for Advanced Study of the Americas, University of Miami, Coral Gables, FL, USA; Department of Public Health, College of Health and Human Sciences, Purdue University, West Lafayette, IN, USA.
5University of Miami Institute for Advanced Study of the Americas, University of Miami, Coral Gables, FL, USA; Department of Psychiatry and Behavioral Sciences, Memorial Sloan Kettering Cancer Center, New York, NY, USA.
6University of Miami Institute for Advanced Study of the Americas, University of Miami, Coral Gables, FL, USA; Department of Political Science, University of Miami, Coral Gables, FL, USA.
7Fundación Mexicana para la Salud, Mexico City, México.
8University of Miami Institute for Advanced Study of the Americas, University of Miami, Coral Gables, FL, USA.
9Department for Palliative Medicine, Uniklinik RWTH Aachen, Aachen, Germany; International Association for Hospice and Palliative Care, Houston, TX, USA.
10Department of Psychiatry, University of California, San Diego, CA, USA.
11Worldwide Hospice Palliative Care Alliance, London, UK.
12International Children's Palliative Care Network, Bristol, UK; Cicely Saunders Institute of Palliative Care, Policy &amp; Rehabilitation, within the Florence Nightingale Faculty of Nursing, Midwifery and Palliative Care, King's College, London, UK; Global Health Academy, College of Medicine and Veterinary Medicine, University of Edinburgh, Edinburgh, UK.
13Institute for Global Health Sciences, University of California, San Francisco, CA, USA.
14Department of Global Health &amp; Social Medicine, Harvard Medical School, Boston, MA, USA; Division of Palliative Care &amp; Geriatric Medicine, Massachusetts General Hospital, Boston, MA, USA; Department of Ethics, Social Medicine &amp; Palliative Care, University of Medicine &amp; Pharmacy at Ho Chi Minh City, Ho Chi Minh City, Vietnam.
15Department of Global Health, University of Washington, Seattle, WA, USA.
16Institute for Health Policy, Management and Evaluation, University of Toronto, Toronto, ON, Canada.
17Institute for Obesity Research, Tecnológico de Monterrey, Monterrey, Mexico; Department of Medicine, Charles E Schmidt College of Medicine, Florida Atlantic University, Boca Raton, FL, USA.
18University of Miami Institute for Advanced Study of the Americas, University of Miami, Coral Gables, FL, USA; MD Anderson Cancer Center, Houston, TX, USA.
19Indiana University School of Medicine, Indianapolis, IN, USA.
20International Association for Hospice and Palliative Care, Houston, TX, USA.
21Cicely Saunders Institute of Palliative Care, Policy &amp; Rehabilitation, within the Florence Nightingale Faculty of Nursing, Midwifery and Palliative Care, King's College, London, UK; Khartoum Oncology Hospital, Khartoum, Sudan.
22Usher Institute, University of Edinburgh, Edinburgh, UK.
23African Center for Research on End of Life Care, Kigali, Rwanda.
24Sección Medicina Paliativa, Facultad de Medicina, Pontificia Universidad Católica de Chile, Santiago, Chile; Centro para la Prevención y el Control del Cáncer, Santiago, Chile.
25Pallium India Trust, Kerala, India.
26Department of Community Health and Psychiatry, University of the West Indies, Mona, Jamaica.
27International Association for Hospice and Palliative Care, Houston, TX, USA; Department of Palliative Medicine, University of Bonn, Bonn, Germany.
PMID: 40021301 PMCID: PMC11868779 </t>
  </si>
  <si>
    <t>https://doi.org/10.1016/S2214-109X(24)00476-5</t>
  </si>
  <si>
    <t>Convalescent plasma therapy and long-term SARS-COV-2 antiviral immune response in a prospective cohort of patients with COVID-19</t>
  </si>
  <si>
    <t>Retrospective study on disparities in time-totreatment by health insurance system in Chilean breast cancer patients</t>
  </si>
  <si>
    <t>CF</t>
  </si>
  <si>
    <t>Gastric Cancer Screening in the United States: A Review of Current Evidence, Challenges, and Future Perspectives</t>
  </si>
  <si>
    <t>BTK inhibitors are a possible emerging therapeutic target for gastric cancer</t>
  </si>
  <si>
    <t>https://DOI.org/10.4067/s0034-98872025000800576</t>
  </si>
  <si>
    <r>
      <t xml:space="preserve">Dino Sepúlveda, María José Guzmán, Vania Zarzar, Maite González, Juan Pablo Rubio, Rafael Araos, </t>
    </r>
    <r>
      <rPr>
        <b/>
        <sz val="8"/>
        <rFont val="Calibri"/>
        <family val="2"/>
        <scheme val="minor"/>
      </rPr>
      <t>Johanna Acevedo</t>
    </r>
  </si>
  <si>
    <t>Challenges of Updating the Family Health Plan in Chile (2024)</t>
  </si>
  <si>
    <t>1Instituto de Ciencias e Innovación en Medicina, Universidad del Desarrollo, Santiago, Chile.
2Ministerio de Salud, Santiago, Chile.</t>
  </si>
  <si>
    <t>JAMA Network Open</t>
  </si>
  <si>
    <t>Lancet Global Health</t>
  </si>
  <si>
    <t>65 publicaciones</t>
  </si>
  <si>
    <r>
      <t xml:space="preserve">Jose Ignacio Erices, Evelin Gonzalez, Marcela Salgado, Carol Barahona-Ponce, Matías Freire, Gonzalo Sepúlveda-Hermosilla, Diego Ampuero, Alejandro Blanco, Valentina Gárate-Calderón, Pablo Báez-Benavides, Camilo Tapia-Valladares, Jessica Toro, Iván Gallegos, </t>
    </r>
    <r>
      <rPr>
        <b/>
        <sz val="8"/>
        <rFont val="Calibri"/>
        <family val="2"/>
        <scheme val="minor"/>
      </rPr>
      <t>Olga Barajas</t>
    </r>
    <r>
      <rPr>
        <sz val="8"/>
        <rFont val="Calibri"/>
        <family val="2"/>
        <scheme val="minor"/>
      </rPr>
      <t xml:space="preserve">, Mónica Ahumada, Verónica Sanhueza, Loreto Spencer, Gonzalo De Toro, Erik Morales, Lorena Gutiérrez, Fernanda Morales, </t>
    </r>
    <r>
      <rPr>
        <b/>
        <sz val="8"/>
        <rFont val="Calibri"/>
        <family val="2"/>
        <scheme val="minor"/>
      </rPr>
      <t>Arnaldo Marin</t>
    </r>
    <r>
      <rPr>
        <sz val="8"/>
        <rFont val="Calibri"/>
        <family val="2"/>
        <scheme val="minor"/>
      </rPr>
      <t xml:space="preserve">, Nelson M. Varela, </t>
    </r>
    <r>
      <rPr>
        <b/>
        <sz val="8"/>
        <rFont val="Calibri"/>
        <family val="2"/>
        <scheme val="minor"/>
      </rPr>
      <t>Justo Lorenzo Bermejo</t>
    </r>
    <r>
      <rPr>
        <sz val="8"/>
        <rFont val="Calibri"/>
        <family val="2"/>
        <scheme val="minor"/>
      </rPr>
      <t xml:space="preserve">, Ricardo Armisen, and </t>
    </r>
    <r>
      <rPr>
        <b/>
        <sz val="8"/>
        <rFont val="Calibri"/>
        <family val="2"/>
        <scheme val="minor"/>
      </rPr>
      <t>Katherine Marcelain</t>
    </r>
    <r>
      <rPr>
        <sz val="8"/>
        <rFont val="Calibri"/>
        <family val="2"/>
        <scheme val="minor"/>
      </rPr>
      <t>*</t>
    </r>
  </si>
  <si>
    <t>al 07 de noviembre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</si>
</sst>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Red]&quot;$&quot;\-#,##0"/>
    <numFmt numFmtId="42" formatCode="_ &quot;$&quot;* #,##0_ ;_ &quot;$&quot;* \-#,##0_ ;_ &quot;$&quot;* &quot;-&quot;_ ;_ @_ "/>
    <numFmt numFmtId="41" formatCode="_ * #,##0_ ;_ * \-#,##0_ ;_ * &quot;-&quot;_ ;_ @_ "/>
    <numFmt numFmtId="43" formatCode="_ * #,##0.00_ ;_ * \-#,##0.00_ ;_ * &quot;-&quot;??_ ;_ @_ "/>
    <numFmt numFmtId="164" formatCode="_-* #,##0_-;\-* #,##0_-;_-* &quot;-&quot;??_-;_-@_-"/>
    <numFmt numFmtId="165" formatCode="_ [$USD]\ * #,##0_ ;_ [$USD]\ * \-#,##0_ ;_ [$USD]\ * &quot;-&quot;_ ;_ @_ "/>
    <numFmt numFmtId="166" formatCode="_ * #,##0.00_ ;_ * \-#,##0.00_ ;_ * &quot;-&quot;_ ;_ @_ "/>
    <numFmt numFmtId="167" formatCode="0.0"/>
  </numFmts>
  <fonts count="51" x14ac:knownFonts="1">
    <font>
      <sz val="11"/>
      <color theme="1"/>
      <name val="Calibri"/>
      <family val="2"/>
      <scheme val="minor"/>
    </font>
    <font>
      <b/>
      <sz val="11"/>
      <color theme="1"/>
      <name val="Calibri"/>
      <family val="2"/>
      <scheme val="minor"/>
    </font>
    <font>
      <b/>
      <sz val="20"/>
      <color theme="1"/>
      <name val="Calibri"/>
      <family val="2"/>
      <scheme val="minor"/>
    </font>
    <font>
      <b/>
      <sz val="11"/>
      <color rgb="FFFF0000"/>
      <name val="Calibri"/>
      <family val="2"/>
      <scheme val="minor"/>
    </font>
    <font>
      <u/>
      <sz val="11"/>
      <color theme="10"/>
      <name val="Calibri"/>
      <family val="2"/>
      <scheme val="minor"/>
    </font>
    <font>
      <sz val="11"/>
      <color rgb="FFFF0000"/>
      <name val="Calibri"/>
      <family val="2"/>
      <scheme val="minor"/>
    </font>
    <font>
      <sz val="11"/>
      <color theme="1"/>
      <name val="Calibri"/>
      <family val="2"/>
      <scheme val="minor"/>
    </font>
    <font>
      <b/>
      <sz val="16"/>
      <color theme="1"/>
      <name val="Calibri"/>
      <family val="2"/>
      <scheme val="minor"/>
    </font>
    <font>
      <sz val="10"/>
      <name val="Calibri"/>
      <family val="2"/>
      <scheme val="minor"/>
    </font>
    <font>
      <sz val="8"/>
      <color theme="1"/>
      <name val="Calibri"/>
      <family val="2"/>
      <scheme val="minor"/>
    </font>
    <font>
      <b/>
      <sz val="14"/>
      <color theme="1"/>
      <name val="Calibri"/>
      <family val="2"/>
      <scheme val="minor"/>
    </font>
    <font>
      <b/>
      <sz val="8"/>
      <color theme="1"/>
      <name val="Calibri"/>
      <family val="2"/>
      <scheme val="minor"/>
    </font>
    <font>
      <sz val="10"/>
      <color rgb="FFFF0000"/>
      <name val="Calibri"/>
      <family val="2"/>
      <scheme val="minor"/>
    </font>
    <font>
      <sz val="11"/>
      <name val="Calibri"/>
      <family val="2"/>
      <scheme val="minor"/>
    </font>
    <font>
      <b/>
      <sz val="18"/>
      <color theme="1"/>
      <name val="Calibri"/>
      <family val="2"/>
      <scheme val="minor"/>
    </font>
    <font>
      <sz val="9"/>
      <color theme="1"/>
      <name val="Calibri"/>
      <family val="2"/>
      <scheme val="minor"/>
    </font>
    <font>
      <b/>
      <sz val="9"/>
      <color theme="1"/>
      <name val="Calibri"/>
      <family val="2"/>
      <scheme val="minor"/>
    </font>
    <font>
      <sz val="11"/>
      <color rgb="FF000000"/>
      <name val="Calibri"/>
      <family val="2"/>
      <scheme val="minor"/>
    </font>
    <font>
      <sz val="11"/>
      <color rgb="FF393939"/>
      <name val="Calibri"/>
      <family val="2"/>
      <scheme val="minor"/>
    </font>
    <font>
      <b/>
      <sz val="12"/>
      <color theme="1"/>
      <name val="Calibri"/>
      <family val="2"/>
      <scheme val="minor"/>
    </font>
    <font>
      <b/>
      <sz val="10"/>
      <color theme="1"/>
      <name val="Calibri"/>
      <family val="2"/>
      <scheme val="minor"/>
    </font>
    <font>
      <b/>
      <sz val="11"/>
      <color theme="0"/>
      <name val="Calibri"/>
      <family val="2"/>
      <scheme val="minor"/>
    </font>
    <font>
      <sz val="11"/>
      <color rgb="FF222222"/>
      <name val="Calibri"/>
      <family val="2"/>
      <scheme val="minor"/>
    </font>
    <font>
      <sz val="11"/>
      <color rgb="FF000000"/>
      <name val="Calibri"/>
      <family val="2"/>
    </font>
    <font>
      <sz val="10"/>
      <color rgb="FF1F1F1F"/>
      <name val="Arial"/>
      <family val="2"/>
    </font>
    <font>
      <u/>
      <sz val="11"/>
      <color rgb="FF0563C1"/>
      <name val="Calibri"/>
      <family val="2"/>
    </font>
    <font>
      <b/>
      <sz val="11"/>
      <color rgb="FF000000"/>
      <name val="Calibri"/>
      <family val="2"/>
      <scheme val="minor"/>
    </font>
    <font>
      <sz val="11"/>
      <color rgb="FF444444"/>
      <name val="Aptos Narrow"/>
      <family val="2"/>
    </font>
    <font>
      <b/>
      <sz val="11"/>
      <color rgb="FF000000"/>
      <name val="Calibri"/>
      <family val="2"/>
    </font>
    <font>
      <sz val="10"/>
      <color rgb="FF333333"/>
      <name val="Arial"/>
      <family val="2"/>
    </font>
    <font>
      <sz val="10"/>
      <color rgb="FF800000"/>
      <name val="Verdana"/>
      <family val="2"/>
    </font>
    <font>
      <sz val="10"/>
      <name val="Calibri"/>
      <family val="2"/>
    </font>
    <font>
      <sz val="11"/>
      <color rgb="FF000000"/>
      <name val="Calibri"/>
      <family val="2"/>
    </font>
    <font>
      <sz val="11"/>
      <name val="Calibri"/>
      <family val="2"/>
    </font>
    <font>
      <b/>
      <sz val="8"/>
      <color rgb="FF000000"/>
      <name val="Calibri"/>
      <family val="2"/>
    </font>
    <font>
      <sz val="8"/>
      <color rgb="FF000000"/>
      <name val="Calibri"/>
      <family val="2"/>
    </font>
    <font>
      <sz val="8"/>
      <name val="Calibri"/>
      <family val="2"/>
    </font>
    <font>
      <b/>
      <sz val="8"/>
      <name val="Calibri"/>
      <family val="2"/>
    </font>
    <font>
      <b/>
      <sz val="12"/>
      <color rgb="FF000000"/>
      <name val="Calibri"/>
      <family val="2"/>
    </font>
    <font>
      <u/>
      <sz val="8"/>
      <color theme="10"/>
      <name val="Calibri"/>
      <family val="2"/>
      <scheme val="minor"/>
    </font>
    <font>
      <sz val="9"/>
      <color indexed="81"/>
      <name val="Tahoma"/>
      <family val="2"/>
    </font>
    <font>
      <sz val="14"/>
      <color theme="1"/>
      <name val="Calibri"/>
      <family val="2"/>
      <scheme val="minor"/>
    </font>
    <font>
      <b/>
      <sz val="9"/>
      <color indexed="81"/>
      <name val="Tahoma"/>
      <family val="2"/>
    </font>
    <font>
      <sz val="12"/>
      <color theme="1"/>
      <name val="Calibri"/>
      <family val="2"/>
      <scheme val="minor"/>
    </font>
    <font>
      <sz val="10"/>
      <color theme="1"/>
      <name val="Calibri"/>
      <family val="2"/>
      <scheme val="minor"/>
    </font>
    <font>
      <b/>
      <i/>
      <sz val="8"/>
      <color theme="1"/>
      <name val="Calibri"/>
      <family val="2"/>
      <scheme val="minor"/>
    </font>
    <font>
      <i/>
      <sz val="8"/>
      <color theme="1"/>
      <name val="Calibri"/>
      <family val="2"/>
      <scheme val="minor"/>
    </font>
    <font>
      <b/>
      <sz val="11"/>
      <name val="Calibri"/>
      <family val="2"/>
      <scheme val="minor"/>
    </font>
    <font>
      <sz val="8"/>
      <name val="Calibri"/>
      <family val="2"/>
      <scheme val="minor"/>
    </font>
    <font>
      <u/>
      <sz val="11"/>
      <name val="Calibri"/>
      <family val="2"/>
      <scheme val="minor"/>
    </font>
    <font>
      <b/>
      <sz val="8"/>
      <name val="Calibri"/>
      <family val="2"/>
      <scheme val="minor"/>
    </font>
  </fonts>
  <fills count="16">
    <fill>
      <patternFill patternType="none"/>
    </fill>
    <fill>
      <patternFill patternType="gray125"/>
    </fill>
    <fill>
      <patternFill patternType="solid">
        <fgColor theme="7"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4"/>
        <bgColor indexed="64"/>
      </patternFill>
    </fill>
    <fill>
      <patternFill patternType="solid">
        <fgColor theme="4" tint="-0.249977111117893"/>
        <bgColor indexed="64"/>
      </patternFill>
    </fill>
    <fill>
      <patternFill patternType="solid">
        <fgColor rgb="FFFFFFFF"/>
        <bgColor indexed="64"/>
      </patternFill>
    </fill>
    <fill>
      <patternFill patternType="solid">
        <fgColor rgb="FFD9E1F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right/>
      <top/>
      <bottom style="thin">
        <color indexed="64"/>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indexed="64"/>
      </right>
      <top style="thin">
        <color indexed="64"/>
      </top>
      <bottom style="thin">
        <color rgb="FF000000"/>
      </bottom>
      <diagonal/>
    </border>
    <border>
      <left style="thin">
        <color rgb="FF000000"/>
      </left>
      <right/>
      <top style="thin">
        <color indexed="64"/>
      </top>
      <bottom style="thin">
        <color rgb="FF000000"/>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style="thin">
        <color indexed="64"/>
      </top>
      <bottom style="medium">
        <color indexed="64"/>
      </bottom>
      <diagonal/>
    </border>
    <border>
      <left/>
      <right/>
      <top style="medium">
        <color indexed="64"/>
      </top>
      <bottom style="double">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s>
  <cellStyleXfs count="7">
    <xf numFmtId="0" fontId="0" fillId="0" borderId="0"/>
    <xf numFmtId="0" fontId="4" fillId="0" borderId="0" applyNumberForma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42" fontId="6" fillId="0" borderId="0" applyFont="0" applyFill="0" applyBorder="0" applyAlignment="0" applyProtection="0"/>
    <xf numFmtId="0" fontId="4" fillId="0" borderId="0" applyNumberFormat="0" applyFill="0" applyBorder="0" applyAlignment="0" applyProtection="0"/>
    <xf numFmtId="9" fontId="6" fillId="0" borderId="0" applyFont="0" applyFill="0" applyBorder="0" applyAlignment="0" applyProtection="0"/>
  </cellStyleXfs>
  <cellXfs count="459">
    <xf numFmtId="0" fontId="0" fillId="0" borderId="0" xfId="0"/>
    <xf numFmtId="0" fontId="0" fillId="0" borderId="1" xfId="0" applyBorder="1"/>
    <xf numFmtId="0" fontId="0" fillId="0" borderId="1" xfId="0" applyBorder="1" applyAlignment="1">
      <alignment wrapText="1"/>
    </xf>
    <xf numFmtId="0" fontId="2" fillId="0" borderId="0" xfId="0" applyFont="1"/>
    <xf numFmtId="0" fontId="1" fillId="0" borderId="0" xfId="0" applyFont="1" applyAlignment="1">
      <alignment horizontal="center"/>
    </xf>
    <xf numFmtId="0" fontId="1" fillId="0" borderId="1" xfId="0" applyFont="1" applyBorder="1" applyAlignment="1">
      <alignment horizontal="center"/>
    </xf>
    <xf numFmtId="0" fontId="1" fillId="0" borderId="0" xfId="0" applyFont="1" applyAlignment="1">
      <alignment horizontal="center" vertical="center"/>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0" xfId="0" applyFont="1"/>
    <xf numFmtId="0" fontId="1" fillId="3"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3" borderId="0" xfId="0" applyFill="1"/>
    <xf numFmtId="0" fontId="0" fillId="4" borderId="0" xfId="0" applyFill="1"/>
    <xf numFmtId="0" fontId="1" fillId="4" borderId="2"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14" fontId="0" fillId="0" borderId="1" xfId="0" applyNumberFormat="1" applyBorder="1" applyAlignment="1">
      <alignment vertical="center"/>
    </xf>
    <xf numFmtId="0" fontId="0" fillId="0" borderId="0" xfId="0" applyAlignment="1">
      <alignment vertical="center"/>
    </xf>
    <xf numFmtId="0" fontId="0" fillId="0" borderId="0" xfId="0" applyAlignment="1">
      <alignment horizontal="center" vertical="center"/>
    </xf>
    <xf numFmtId="41" fontId="0" fillId="0" borderId="0" xfId="2" applyFont="1" applyAlignment="1">
      <alignment vertical="center"/>
    </xf>
    <xf numFmtId="0" fontId="9" fillId="0" borderId="1" xfId="0" applyFont="1" applyBorder="1" applyAlignment="1">
      <alignment vertical="center" wrapText="1"/>
    </xf>
    <xf numFmtId="0" fontId="0" fillId="0" borderId="6" xfId="0" applyBorder="1" applyAlignment="1">
      <alignment vertical="center"/>
    </xf>
    <xf numFmtId="0" fontId="7" fillId="0" borderId="0" xfId="0" applyFont="1" applyAlignment="1">
      <alignment vertical="center"/>
    </xf>
    <xf numFmtId="0" fontId="1" fillId="0" borderId="0" xfId="0" applyFont="1" applyAlignment="1">
      <alignment vertical="center"/>
    </xf>
    <xf numFmtId="41" fontId="1" fillId="0" borderId="0" xfId="2" applyFont="1" applyBorder="1" applyAlignment="1">
      <alignment horizontal="center" vertical="center"/>
    </xf>
    <xf numFmtId="0" fontId="1" fillId="5" borderId="11" xfId="0" applyFont="1" applyFill="1" applyBorder="1" applyAlignment="1">
      <alignment horizontal="center" vertical="center" wrapText="1"/>
    </xf>
    <xf numFmtId="0" fontId="10" fillId="5" borderId="9" xfId="0" applyFont="1" applyFill="1" applyBorder="1" applyAlignment="1">
      <alignment horizontal="right" vertical="center"/>
    </xf>
    <xf numFmtId="41" fontId="10" fillId="5" borderId="10" xfId="2" applyFont="1" applyFill="1" applyBorder="1" applyAlignment="1">
      <alignment vertical="center"/>
    </xf>
    <xf numFmtId="0" fontId="2" fillId="0" borderId="12" xfId="0" applyFont="1" applyBorder="1" applyAlignment="1">
      <alignment horizontal="center" vertical="center"/>
    </xf>
    <xf numFmtId="0" fontId="4" fillId="0" borderId="1" xfId="1" applyBorder="1" applyAlignment="1">
      <alignment wrapText="1"/>
    </xf>
    <xf numFmtId="6" fontId="0" fillId="0" borderId="1" xfId="0" applyNumberFormat="1" applyBorder="1" applyAlignment="1">
      <alignment vertical="center" wrapText="1"/>
    </xf>
    <xf numFmtId="0" fontId="0" fillId="0" borderId="1" xfId="0" applyBorder="1" applyAlignment="1">
      <alignment horizontal="center" vertical="center" wrapText="1"/>
    </xf>
    <xf numFmtId="165" fontId="0" fillId="0" borderId="1" xfId="0" applyNumberFormat="1" applyBorder="1" applyAlignment="1">
      <alignment vertical="center" wrapText="1"/>
    </xf>
    <xf numFmtId="0" fontId="0" fillId="0" borderId="1" xfId="0" applyBorder="1" applyAlignment="1">
      <alignment horizontal="right" vertical="center" wrapText="1"/>
    </xf>
    <xf numFmtId="41" fontId="0" fillId="0" borderId="0" xfId="0" applyNumberFormat="1"/>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vertical="center"/>
    </xf>
    <xf numFmtId="0" fontId="7" fillId="0" borderId="0" xfId="0" applyFont="1" applyAlignment="1">
      <alignment horizontal="center" vertical="center"/>
    </xf>
    <xf numFmtId="9" fontId="0" fillId="0" borderId="1" xfId="0" applyNumberFormat="1" applyBorder="1" applyAlignment="1">
      <alignment horizontal="center" vertical="center"/>
    </xf>
    <xf numFmtId="41" fontId="10" fillId="5" borderId="0" xfId="2" applyFont="1" applyFill="1" applyBorder="1" applyAlignment="1">
      <alignment vertical="center"/>
    </xf>
    <xf numFmtId="41" fontId="0" fillId="0" borderId="1" xfId="2" applyFont="1" applyFill="1" applyBorder="1" applyAlignment="1">
      <alignment vertical="center"/>
    </xf>
    <xf numFmtId="164" fontId="8" fillId="0" borderId="1" xfId="3" applyNumberFormat="1" applyFont="1" applyFill="1" applyBorder="1" applyAlignment="1">
      <alignment vertical="center"/>
    </xf>
    <xf numFmtId="41" fontId="0" fillId="0" borderId="1" xfId="2" applyFont="1" applyBorder="1" applyAlignment="1">
      <alignment vertical="center"/>
    </xf>
    <xf numFmtId="0" fontId="0" fillId="0" borderId="1" xfId="0" applyBorder="1" applyAlignment="1">
      <alignment horizontal="left" vertical="center" wrapText="1"/>
    </xf>
    <xf numFmtId="9"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0" fillId="0" borderId="1" xfId="0" applyBorder="1" applyAlignment="1">
      <alignment horizontal="center" wrapText="1"/>
    </xf>
    <xf numFmtId="0" fontId="1" fillId="4" borderId="7" xfId="0" applyFont="1" applyFill="1" applyBorder="1" applyAlignment="1">
      <alignment horizontal="center" vertical="center" wrapText="1"/>
    </xf>
    <xf numFmtId="41" fontId="1" fillId="5" borderId="13" xfId="2"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41" fontId="1" fillId="5" borderId="1" xfId="2" applyFont="1" applyFill="1" applyBorder="1" applyAlignment="1">
      <alignment horizontal="center" vertical="center" wrapText="1"/>
    </xf>
    <xf numFmtId="41" fontId="10" fillId="5" borderId="1" xfId="2" applyFont="1" applyFill="1" applyBorder="1" applyAlignment="1">
      <alignment vertical="center"/>
    </xf>
    <xf numFmtId="0" fontId="0" fillId="0" borderId="0" xfId="0" applyAlignment="1">
      <alignment vertical="center" wrapText="1"/>
    </xf>
    <xf numFmtId="0" fontId="0" fillId="0" borderId="0" xfId="0" applyAlignment="1">
      <alignment horizontal="center" vertical="center" wrapText="1"/>
    </xf>
    <xf numFmtId="14" fontId="0" fillId="0" borderId="0" xfId="0" applyNumberFormat="1" applyAlignment="1">
      <alignment vertical="center"/>
    </xf>
    <xf numFmtId="6" fontId="0" fillId="0" borderId="1" xfId="0" applyNumberFormat="1" applyBorder="1" applyAlignment="1">
      <alignment horizontal="left" vertical="center" wrapText="1"/>
    </xf>
    <xf numFmtId="164" fontId="8" fillId="0" borderId="0" xfId="3" applyNumberFormat="1" applyFont="1" applyFill="1" applyBorder="1" applyAlignment="1">
      <alignment vertical="center"/>
    </xf>
    <xf numFmtId="0" fontId="0" fillId="0" borderId="0" xfId="0" applyAlignment="1">
      <alignment wrapText="1"/>
    </xf>
    <xf numFmtId="41" fontId="10" fillId="0" borderId="0" xfId="2" applyFont="1" applyFill="1" applyBorder="1" applyAlignment="1">
      <alignment vertical="center"/>
    </xf>
    <xf numFmtId="41" fontId="5" fillId="0" borderId="1" xfId="2" applyFont="1" applyFill="1" applyBorder="1" applyAlignment="1">
      <alignment vertical="center"/>
    </xf>
    <xf numFmtId="41" fontId="0" fillId="0" borderId="1" xfId="2" applyFont="1" applyBorder="1" applyAlignment="1">
      <alignment vertical="center" wrapText="1"/>
    </xf>
    <xf numFmtId="164" fontId="12" fillId="0" borderId="1" xfId="3" applyNumberFormat="1" applyFont="1" applyFill="1" applyBorder="1" applyAlignment="1">
      <alignment vertical="center"/>
    </xf>
    <xf numFmtId="0" fontId="10" fillId="5" borderId="1" xfId="0" applyFont="1" applyFill="1" applyBorder="1" applyAlignment="1">
      <alignment horizontal="right" vertical="center"/>
    </xf>
    <xf numFmtId="0" fontId="14" fillId="0" borderId="0" xfId="0" applyFont="1" applyAlignment="1">
      <alignment horizontal="center" vertical="center"/>
    </xf>
    <xf numFmtId="0" fontId="1" fillId="4" borderId="1" xfId="0" applyFont="1" applyFill="1" applyBorder="1" applyAlignment="1">
      <alignment horizontal="center" vertical="center" wrapText="1"/>
    </xf>
    <xf numFmtId="14" fontId="0" fillId="0" borderId="1" xfId="0" applyNumberFormat="1" applyBorder="1"/>
    <xf numFmtId="0" fontId="4" fillId="0" borderId="1" xfId="1" applyBorder="1"/>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42" fontId="1" fillId="3" borderId="1" xfId="4" applyFont="1" applyFill="1" applyBorder="1" applyAlignment="1">
      <alignment horizontal="center" vertical="center" wrapText="1"/>
    </xf>
    <xf numFmtId="41" fontId="0" fillId="0" borderId="1" xfId="0" applyNumberFormat="1" applyBorder="1" applyAlignment="1">
      <alignment horizontal="center" vertical="center" wrapText="1"/>
    </xf>
    <xf numFmtId="41" fontId="0" fillId="0" borderId="1" xfId="0" applyNumberFormat="1" applyBorder="1" applyAlignment="1">
      <alignment vertical="center"/>
    </xf>
    <xf numFmtId="41" fontId="1" fillId="0" borderId="1" xfId="0" applyNumberFormat="1" applyFont="1" applyBorder="1" applyAlignment="1">
      <alignment vertical="center"/>
    </xf>
    <xf numFmtId="166" fontId="0" fillId="0" borderId="1" xfId="2" applyNumberFormat="1" applyFont="1" applyBorder="1" applyAlignment="1">
      <alignment vertical="center" wrapText="1"/>
    </xf>
    <xf numFmtId="41" fontId="6" fillId="0" borderId="1" xfId="2" applyFont="1" applyFill="1" applyBorder="1" applyAlignment="1">
      <alignment horizontal="center" vertical="center" wrapText="1"/>
    </xf>
    <xf numFmtId="0" fontId="1" fillId="5" borderId="14" xfId="0" applyFont="1" applyFill="1" applyBorder="1" applyAlignment="1">
      <alignment horizontal="center" vertical="center"/>
    </xf>
    <xf numFmtId="41" fontId="1" fillId="5" borderId="2" xfId="2" applyFont="1" applyFill="1" applyBorder="1" applyAlignment="1">
      <alignment horizontal="center" vertical="center" wrapText="1"/>
    </xf>
    <xf numFmtId="0" fontId="0" fillId="3" borderId="2" xfId="0" applyFill="1" applyBorder="1"/>
    <xf numFmtId="41" fontId="5" fillId="0" borderId="6" xfId="2" applyFont="1" applyFill="1" applyBorder="1" applyAlignment="1">
      <alignment vertical="center"/>
    </xf>
    <xf numFmtId="0" fontId="15" fillId="0" borderId="1" xfId="0" applyFont="1" applyBorder="1" applyAlignment="1">
      <alignment horizontal="center" vertical="center" wrapText="1"/>
    </xf>
    <xf numFmtId="0" fontId="17" fillId="0" borderId="1" xfId="0" applyFont="1" applyBorder="1" applyAlignment="1">
      <alignment wrapText="1"/>
    </xf>
    <xf numFmtId="0" fontId="4" fillId="0" borderId="1" xfId="1" applyBorder="1" applyAlignment="1">
      <alignment vertical="center"/>
    </xf>
    <xf numFmtId="41" fontId="13" fillId="0" borderId="1" xfId="2" applyFont="1" applyFill="1" applyBorder="1" applyAlignment="1">
      <alignment vertical="center"/>
    </xf>
    <xf numFmtId="0" fontId="4" fillId="0" borderId="1" xfId="1" applyFill="1" applyBorder="1" applyAlignment="1">
      <alignment horizontal="center" vertical="center" wrapText="1"/>
    </xf>
    <xf numFmtId="14" fontId="0" fillId="0" borderId="1" xfId="0" applyNumberFormat="1" applyBorder="1" applyAlignment="1">
      <alignment horizontal="center" vertical="center" wrapText="1"/>
    </xf>
    <xf numFmtId="0" fontId="18" fillId="0" borderId="0" xfId="0" applyFont="1" applyAlignment="1">
      <alignment vertical="center"/>
    </xf>
    <xf numFmtId="0" fontId="4" fillId="0" borderId="1" xfId="1" applyBorder="1" applyAlignment="1">
      <alignment vertical="center" wrapText="1"/>
    </xf>
    <xf numFmtId="164" fontId="8" fillId="6" borderId="1" xfId="3" applyNumberFormat="1" applyFont="1" applyFill="1" applyBorder="1" applyAlignment="1">
      <alignment vertical="center"/>
    </xf>
    <xf numFmtId="41" fontId="0" fillId="6" borderId="1" xfId="2" applyFont="1" applyFill="1" applyBorder="1" applyAlignment="1">
      <alignment vertical="center"/>
    </xf>
    <xf numFmtId="0" fontId="19" fillId="7" borderId="0" xfId="0" applyFont="1" applyFill="1" applyAlignment="1">
      <alignment vertical="center"/>
    </xf>
    <xf numFmtId="0" fontId="0" fillId="8" borderId="1" xfId="0" applyFill="1" applyBorder="1" applyAlignment="1">
      <alignment vertical="center" wrapText="1"/>
    </xf>
    <xf numFmtId="0" fontId="15" fillId="0" borderId="1" xfId="0" applyFont="1" applyBorder="1" applyAlignment="1">
      <alignment vertical="center" wrapText="1"/>
    </xf>
    <xf numFmtId="0" fontId="1" fillId="0" borderId="1" xfId="0" applyFont="1" applyBorder="1" applyAlignment="1">
      <alignment horizontal="center" vertical="center" wrapText="1"/>
    </xf>
    <xf numFmtId="41" fontId="8" fillId="0" borderId="1" xfId="2" applyFont="1" applyFill="1" applyBorder="1" applyAlignment="1">
      <alignment vertic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1" fillId="5" borderId="12" xfId="0" applyFont="1" applyFill="1" applyBorder="1" applyAlignment="1">
      <alignment horizontal="center"/>
    </xf>
    <xf numFmtId="41" fontId="20" fillId="5" borderId="16" xfId="2" applyFont="1" applyFill="1" applyBorder="1" applyAlignment="1">
      <alignment vertical="center" wrapText="1"/>
    </xf>
    <xf numFmtId="41" fontId="1" fillId="5" borderId="12" xfId="2" applyFont="1" applyFill="1" applyBorder="1" applyAlignment="1">
      <alignment vertical="center" wrapText="1"/>
    </xf>
    <xf numFmtId="0" fontId="1" fillId="5" borderId="12" xfId="0" applyFont="1" applyFill="1" applyBorder="1" applyAlignment="1">
      <alignment horizontal="center" wrapText="1"/>
    </xf>
    <xf numFmtId="41" fontId="1" fillId="5" borderId="12" xfId="0" applyNumberFormat="1" applyFont="1" applyFill="1" applyBorder="1"/>
    <xf numFmtId="0" fontId="1" fillId="5" borderId="16" xfId="0" applyFont="1" applyFill="1" applyBorder="1" applyAlignment="1">
      <alignment horizontal="center"/>
    </xf>
    <xf numFmtId="0" fontId="21" fillId="0" borderId="0" xfId="0" applyFont="1"/>
    <xf numFmtId="0" fontId="0" fillId="0" borderId="21" xfId="0" applyBorder="1" applyAlignment="1">
      <alignment vertical="center" wrapText="1"/>
    </xf>
    <xf numFmtId="41" fontId="0" fillId="0" borderId="22" xfId="2" applyFont="1" applyBorder="1" applyAlignment="1">
      <alignment vertical="center" wrapText="1"/>
    </xf>
    <xf numFmtId="41" fontId="0" fillId="0" borderId="25" xfId="2" applyFont="1" applyBorder="1" applyAlignment="1">
      <alignment horizontal="center"/>
    </xf>
    <xf numFmtId="41" fontId="0" fillId="0" borderId="17" xfId="2" applyFont="1" applyBorder="1" applyAlignment="1">
      <alignment horizontal="center"/>
    </xf>
    <xf numFmtId="0" fontId="1" fillId="5" borderId="26" xfId="0" applyFont="1" applyFill="1" applyBorder="1" applyAlignment="1">
      <alignment horizontal="center"/>
    </xf>
    <xf numFmtId="0" fontId="1" fillId="8" borderId="1" xfId="0" applyFont="1" applyFill="1" applyBorder="1" applyAlignment="1">
      <alignment horizontal="center" vertical="center" wrapText="1"/>
    </xf>
    <xf numFmtId="0" fontId="23" fillId="0" borderId="1" xfId="0" applyFont="1" applyBorder="1" applyAlignment="1">
      <alignment horizontal="left" vertical="center" wrapText="1"/>
    </xf>
    <xf numFmtId="0" fontId="23" fillId="0" borderId="5" xfId="0" applyFont="1" applyBorder="1" applyAlignment="1">
      <alignment horizontal="left" vertical="center" wrapText="1"/>
    </xf>
    <xf numFmtId="0" fontId="4" fillId="0" borderId="5" xfId="5" applyFill="1" applyBorder="1" applyAlignment="1">
      <alignment horizontal="left" vertical="center" wrapText="1"/>
    </xf>
    <xf numFmtId="0" fontId="23" fillId="0" borderId="6" xfId="0" applyFont="1" applyBorder="1" applyAlignment="1">
      <alignment horizontal="left" vertical="center" wrapText="1"/>
    </xf>
    <xf numFmtId="0" fontId="23" fillId="0" borderId="29" xfId="0" applyFont="1" applyBorder="1" applyAlignment="1">
      <alignment horizontal="left" vertical="center" wrapText="1"/>
    </xf>
    <xf numFmtId="0" fontId="4" fillId="0" borderId="29" xfId="5" applyFill="1" applyBorder="1" applyAlignment="1">
      <alignment horizontal="left" vertical="center" wrapText="1"/>
    </xf>
    <xf numFmtId="3" fontId="23" fillId="0" borderId="29" xfId="0" applyNumberFormat="1" applyFont="1" applyBorder="1" applyAlignment="1">
      <alignment horizontal="left" vertical="center" wrapText="1"/>
    </xf>
    <xf numFmtId="0" fontId="24" fillId="0" borderId="29" xfId="0" applyFont="1" applyBorder="1" applyAlignment="1">
      <alignment horizontal="left" vertical="center" wrapText="1"/>
    </xf>
    <xf numFmtId="0" fontId="25" fillId="0" borderId="29" xfId="0" applyFont="1" applyBorder="1" applyAlignment="1">
      <alignment horizontal="left" vertical="center" wrapText="1"/>
    </xf>
    <xf numFmtId="14" fontId="23" fillId="0" borderId="6" xfId="0" applyNumberFormat="1" applyFont="1" applyBorder="1" applyAlignment="1">
      <alignment horizontal="left" vertical="center" wrapText="1"/>
    </xf>
    <xf numFmtId="0" fontId="0" fillId="0" borderId="0" xfId="0" applyAlignment="1">
      <alignment horizontal="left" vertical="center" wrapText="1"/>
    </xf>
    <xf numFmtId="0" fontId="4" fillId="0" borderId="1" xfId="5" applyBorder="1" applyAlignment="1">
      <alignment horizontal="left" vertical="center" wrapText="1"/>
    </xf>
    <xf numFmtId="0" fontId="4" fillId="0" borderId="0" xfId="5" applyAlignment="1">
      <alignment horizontal="left" vertical="center" wrapText="1"/>
    </xf>
    <xf numFmtId="164" fontId="8" fillId="8" borderId="1" xfId="3" applyNumberFormat="1" applyFont="1" applyFill="1" applyBorder="1" applyAlignment="1">
      <alignment vertical="center"/>
    </xf>
    <xf numFmtId="0" fontId="0" fillId="8" borderId="1" xfId="0" applyFill="1" applyBorder="1" applyAlignment="1">
      <alignment horizontal="center" vertical="center" wrapText="1"/>
    </xf>
    <xf numFmtId="0" fontId="17" fillId="0" borderId="1" xfId="0" applyFont="1" applyBorder="1" applyAlignment="1">
      <alignment vertical="center" wrapText="1"/>
    </xf>
    <xf numFmtId="0" fontId="5" fillId="0" borderId="0" xfId="0" applyFont="1"/>
    <xf numFmtId="0" fontId="0" fillId="0" borderId="32" xfId="0" applyBorder="1" applyAlignment="1">
      <alignment horizontal="center"/>
    </xf>
    <xf numFmtId="0" fontId="0" fillId="0" borderId="33" xfId="0" applyBorder="1" applyAlignment="1">
      <alignment horizontal="left"/>
    </xf>
    <xf numFmtId="0" fontId="0" fillId="0" borderId="34" xfId="0" applyBorder="1" applyAlignment="1">
      <alignment horizontal="center" wrapText="1"/>
    </xf>
    <xf numFmtId="0" fontId="0" fillId="0" borderId="24" xfId="0" applyBorder="1" applyAlignment="1">
      <alignment horizontal="center" wrapText="1"/>
    </xf>
    <xf numFmtId="0" fontId="1" fillId="0" borderId="0" xfId="0" applyFont="1" applyAlignment="1">
      <alignment horizontal="left" vertical="center" wrapText="1"/>
    </xf>
    <xf numFmtId="14" fontId="0" fillId="0" borderId="1" xfId="0" applyNumberFormat="1" applyBorder="1" applyAlignment="1">
      <alignment vertical="center" wrapText="1"/>
    </xf>
    <xf numFmtId="0" fontId="23" fillId="0" borderId="1" xfId="0" applyFont="1" applyBorder="1" applyAlignment="1">
      <alignment vertical="center"/>
    </xf>
    <xf numFmtId="15" fontId="23" fillId="0" borderId="6" xfId="0" applyNumberFormat="1" applyFont="1" applyBorder="1" applyAlignment="1">
      <alignment vertical="center"/>
    </xf>
    <xf numFmtId="14" fontId="23" fillId="0" borderId="37" xfId="0" applyNumberFormat="1" applyFont="1" applyBorder="1" applyAlignment="1">
      <alignment vertical="center" wrapText="1"/>
    </xf>
    <xf numFmtId="0" fontId="27" fillId="0" borderId="0" xfId="0" applyFont="1" applyAlignment="1">
      <alignment vertical="center"/>
    </xf>
    <xf numFmtId="0" fontId="4" fillId="0" borderId="1" xfId="1" applyFill="1" applyBorder="1" applyAlignment="1">
      <alignment vertical="center" wrapText="1"/>
    </xf>
    <xf numFmtId="0" fontId="4" fillId="11" borderId="0" xfId="5" applyFill="1" applyAlignment="1">
      <alignment vertical="center" wrapText="1"/>
    </xf>
    <xf numFmtId="0" fontId="0" fillId="0" borderId="3" xfId="0" applyBorder="1" applyAlignment="1">
      <alignment vertical="center"/>
    </xf>
    <xf numFmtId="0" fontId="4" fillId="0" borderId="30" xfId="5" applyBorder="1" applyAlignment="1">
      <alignment vertical="center"/>
    </xf>
    <xf numFmtId="0" fontId="0" fillId="0" borderId="5" xfId="0" applyBorder="1" applyAlignment="1">
      <alignment vertical="center"/>
    </xf>
    <xf numFmtId="0" fontId="4" fillId="0" borderId="0" xfId="5" applyAlignment="1">
      <alignment vertical="center"/>
    </xf>
    <xf numFmtId="0" fontId="23" fillId="0" borderId="4" xfId="0" applyFont="1" applyBorder="1" applyAlignment="1">
      <alignment vertical="center"/>
    </xf>
    <xf numFmtId="0" fontId="4" fillId="0" borderId="1" xfId="5" applyFill="1" applyBorder="1" applyAlignment="1">
      <alignment vertical="center"/>
    </xf>
    <xf numFmtId="0" fontId="23" fillId="0" borderId="5" xfId="0" applyFont="1" applyBorder="1" applyAlignment="1">
      <alignment vertical="center"/>
    </xf>
    <xf numFmtId="0" fontId="23" fillId="0" borderId="36" xfId="0" applyFont="1" applyBorder="1" applyAlignment="1">
      <alignment vertical="center"/>
    </xf>
    <xf numFmtId="0" fontId="4" fillId="0" borderId="6" xfId="5" applyFill="1" applyBorder="1" applyAlignment="1">
      <alignment vertical="center"/>
    </xf>
    <xf numFmtId="0" fontId="23" fillId="0" borderId="29" xfId="0" applyFont="1" applyBorder="1" applyAlignment="1">
      <alignment vertical="center"/>
    </xf>
    <xf numFmtId="0" fontId="4" fillId="0" borderId="6" xfId="5" applyFill="1" applyBorder="1" applyAlignment="1">
      <alignment vertical="center" wrapText="1"/>
    </xf>
    <xf numFmtId="0" fontId="23" fillId="0" borderId="38" xfId="0" applyFont="1" applyBorder="1" applyAlignment="1">
      <alignment vertical="center" wrapText="1"/>
    </xf>
    <xf numFmtId="0" fontId="23" fillId="0" borderId="39" xfId="0" applyFont="1" applyBorder="1" applyAlignment="1">
      <alignment vertical="center" wrapText="1"/>
    </xf>
    <xf numFmtId="14" fontId="0" fillId="0" borderId="43" xfId="0" applyNumberFormat="1" applyBorder="1" applyAlignment="1">
      <alignment vertical="center"/>
    </xf>
    <xf numFmtId="0" fontId="23" fillId="0" borderId="30" xfId="0" applyFont="1" applyBorder="1" applyAlignment="1">
      <alignment vertical="center"/>
    </xf>
    <xf numFmtId="0" fontId="4" fillId="0" borderId="30" xfId="5" applyFill="1" applyBorder="1" applyAlignment="1">
      <alignment vertical="center" wrapText="1"/>
    </xf>
    <xf numFmtId="0" fontId="4" fillId="0" borderId="44" xfId="5" applyFill="1" applyBorder="1" applyAlignment="1">
      <alignment vertical="center" wrapText="1"/>
    </xf>
    <xf numFmtId="15" fontId="23" fillId="0" borderId="43" xfId="0" applyNumberFormat="1" applyFont="1" applyBorder="1" applyAlignment="1">
      <alignment vertical="center" wrapText="1"/>
    </xf>
    <xf numFmtId="0" fontId="23" fillId="0" borderId="30" xfId="0" applyFont="1" applyBorder="1" applyAlignment="1">
      <alignment vertical="center" wrapText="1"/>
    </xf>
    <xf numFmtId="0" fontId="23" fillId="0" borderId="43" xfId="0" applyFont="1" applyBorder="1" applyAlignment="1">
      <alignment vertical="center"/>
    </xf>
    <xf numFmtId="0" fontId="4" fillId="0" borderId="45" xfId="5" applyFill="1" applyBorder="1" applyAlignment="1">
      <alignment vertical="center" wrapText="1"/>
    </xf>
    <xf numFmtId="0" fontId="0" fillId="0" borderId="40" xfId="0" applyBorder="1" applyAlignment="1">
      <alignment vertical="center" wrapText="1"/>
    </xf>
    <xf numFmtId="15" fontId="23" fillId="0" borderId="30" xfId="0" applyNumberFormat="1" applyFont="1" applyBorder="1" applyAlignment="1">
      <alignment vertical="center" wrapText="1"/>
    </xf>
    <xf numFmtId="0" fontId="4" fillId="0" borderId="30" xfId="5" applyFill="1" applyBorder="1" applyAlignment="1">
      <alignment vertical="center"/>
    </xf>
    <xf numFmtId="0" fontId="23" fillId="0" borderId="45" xfId="0" applyFont="1" applyBorder="1" applyAlignment="1">
      <alignment vertical="center"/>
    </xf>
    <xf numFmtId="0" fontId="4" fillId="0" borderId="8" xfId="5" applyFill="1" applyBorder="1" applyAlignment="1">
      <alignment horizontal="left" vertical="center" wrapText="1"/>
    </xf>
    <xf numFmtId="0" fontId="23" fillId="0" borderId="37" xfId="0" applyFont="1" applyBorder="1" applyAlignment="1">
      <alignment vertical="center"/>
    </xf>
    <xf numFmtId="0" fontId="4" fillId="0" borderId="42" xfId="5" applyFill="1" applyBorder="1" applyAlignment="1">
      <alignment vertical="center" wrapText="1"/>
    </xf>
    <xf numFmtId="0" fontId="23" fillId="0" borderId="5" xfId="0" applyFont="1" applyBorder="1" applyAlignment="1">
      <alignment vertical="center" wrapText="1"/>
    </xf>
    <xf numFmtId="0" fontId="3" fillId="0" borderId="0" xfId="0" applyFont="1" applyAlignment="1">
      <alignment vertical="center"/>
    </xf>
    <xf numFmtId="0" fontId="0" fillId="3" borderId="2" xfId="0" applyFill="1" applyBorder="1" applyAlignment="1">
      <alignment vertical="center"/>
    </xf>
    <xf numFmtId="0" fontId="4" fillId="0" borderId="0" xfId="1" applyFill="1" applyBorder="1" applyAlignment="1">
      <alignment vertical="center" wrapText="1"/>
    </xf>
    <xf numFmtId="41" fontId="20" fillId="0" borderId="0" xfId="2" applyFont="1" applyFill="1" applyBorder="1" applyAlignment="1">
      <alignment vertical="center" wrapText="1"/>
    </xf>
    <xf numFmtId="41" fontId="1" fillId="0" borderId="0" xfId="2" applyFont="1" applyFill="1" applyBorder="1" applyAlignment="1">
      <alignment vertical="center" wrapText="1"/>
    </xf>
    <xf numFmtId="41" fontId="0" fillId="0" borderId="0" xfId="2" applyFont="1" applyFill="1" applyBorder="1" applyAlignment="1">
      <alignment vertical="center" wrapText="1"/>
    </xf>
    <xf numFmtId="41" fontId="0" fillId="0" borderId="0" xfId="0" applyNumberFormat="1" applyAlignment="1">
      <alignment vertical="center"/>
    </xf>
    <xf numFmtId="0" fontId="22" fillId="0" borderId="1" xfId="0" applyFont="1" applyBorder="1" applyAlignment="1">
      <alignment vertical="center" wrapText="1"/>
    </xf>
    <xf numFmtId="14" fontId="23" fillId="0" borderId="1" xfId="0" applyNumberFormat="1" applyFont="1" applyBorder="1" applyAlignment="1">
      <alignment vertical="center"/>
    </xf>
    <xf numFmtId="0" fontId="4" fillId="0" borderId="5" xfId="5" applyFill="1" applyBorder="1" applyAlignment="1">
      <alignment vertical="center" wrapText="1"/>
    </xf>
    <xf numFmtId="0" fontId="23" fillId="0" borderId="48" xfId="0" applyFont="1" applyBorder="1" applyAlignment="1">
      <alignment vertical="center"/>
    </xf>
    <xf numFmtId="0" fontId="23" fillId="0" borderId="1" xfId="0" applyFont="1" applyBorder="1" applyAlignment="1">
      <alignment vertical="center" wrapText="1"/>
    </xf>
    <xf numFmtId="0" fontId="25" fillId="0" borderId="5" xfId="0" applyFont="1" applyBorder="1" applyAlignment="1">
      <alignment vertical="center" wrapText="1"/>
    </xf>
    <xf numFmtId="0" fontId="29" fillId="0" borderId="0" xfId="0" applyFont="1" applyAlignment="1">
      <alignment vertical="center" wrapText="1"/>
    </xf>
    <xf numFmtId="0" fontId="28" fillId="0" borderId="0" xfId="0" applyFont="1" applyAlignment="1">
      <alignment vertical="center" wrapText="1"/>
    </xf>
    <xf numFmtId="0" fontId="4" fillId="0" borderId="0" xfId="5" applyFill="1" applyBorder="1" applyAlignment="1">
      <alignment vertical="center" wrapText="1"/>
    </xf>
    <xf numFmtId="0" fontId="23" fillId="0" borderId="3" xfId="0" applyFont="1" applyBorder="1" applyAlignment="1">
      <alignment vertical="center"/>
    </xf>
    <xf numFmtId="0" fontId="23" fillId="0" borderId="41" xfId="0" applyFont="1" applyBorder="1" applyAlignment="1">
      <alignment vertical="center" wrapText="1"/>
    </xf>
    <xf numFmtId="0" fontId="25" fillId="0" borderId="41" xfId="0" applyFont="1" applyBorder="1" applyAlignment="1">
      <alignment vertical="center" wrapText="1"/>
    </xf>
    <xf numFmtId="0" fontId="23" fillId="0" borderId="47" xfId="0" applyFont="1" applyBorder="1" applyAlignment="1">
      <alignment vertical="center"/>
    </xf>
    <xf numFmtId="0" fontId="0" fillId="0" borderId="30" xfId="0" applyBorder="1" applyAlignment="1">
      <alignment vertical="center"/>
    </xf>
    <xf numFmtId="0" fontId="4" fillId="0" borderId="39" xfId="5" applyFill="1" applyBorder="1" applyAlignment="1">
      <alignment vertical="center" wrapText="1"/>
    </xf>
    <xf numFmtId="0" fontId="0" fillId="0" borderId="46" xfId="0" applyBorder="1" applyAlignment="1">
      <alignment vertical="center"/>
    </xf>
    <xf numFmtId="0" fontId="0" fillId="0" borderId="3" xfId="0" applyBorder="1" applyAlignment="1">
      <alignment vertical="center" wrapText="1"/>
    </xf>
    <xf numFmtId="0" fontId="30" fillId="0" borderId="30" xfId="0" applyFont="1" applyBorder="1" applyAlignment="1">
      <alignment vertical="center" wrapText="1"/>
    </xf>
    <xf numFmtId="0" fontId="0" fillId="0" borderId="49" xfId="0" applyBorder="1" applyAlignment="1">
      <alignment vertical="center" wrapText="1"/>
    </xf>
    <xf numFmtId="14" fontId="23" fillId="0" borderId="45" xfId="0" applyNumberFormat="1" applyFont="1" applyBorder="1" applyAlignment="1">
      <alignment vertical="center"/>
    </xf>
    <xf numFmtId="0" fontId="23" fillId="0" borderId="5" xfId="0" applyFont="1" applyBorder="1" applyAlignment="1">
      <alignment horizontal="center" vertical="center"/>
    </xf>
    <xf numFmtId="0" fontId="23" fillId="0" borderId="5" xfId="0" applyFont="1" applyBorder="1" applyAlignment="1">
      <alignment horizontal="center" vertical="center" wrapText="1"/>
    </xf>
    <xf numFmtId="0" fontId="32" fillId="0" borderId="5" xfId="0" applyFont="1" applyBorder="1" applyAlignment="1">
      <alignment vertical="center" wrapText="1"/>
    </xf>
    <xf numFmtId="0" fontId="33" fillId="0" borderId="5" xfId="0" applyFont="1" applyBorder="1" applyAlignment="1">
      <alignment vertical="center"/>
    </xf>
    <xf numFmtId="0" fontId="23" fillId="0" borderId="0" xfId="0" applyFont="1" applyAlignment="1">
      <alignment vertical="center"/>
    </xf>
    <xf numFmtId="0" fontId="28" fillId="0" borderId="29" xfId="0" applyFont="1" applyBorder="1" applyAlignment="1">
      <alignment horizontal="center" vertical="center"/>
    </xf>
    <xf numFmtId="0" fontId="23" fillId="0" borderId="29" xfId="0" applyFont="1" applyBorder="1" applyAlignment="1">
      <alignment horizontal="center" vertical="center"/>
    </xf>
    <xf numFmtId="0" fontId="23" fillId="0" borderId="29" xfId="0" applyFont="1" applyBorder="1" applyAlignment="1">
      <alignment vertical="center" wrapText="1"/>
    </xf>
    <xf numFmtId="0" fontId="31" fillId="0" borderId="29" xfId="0" applyFont="1" applyBorder="1" applyAlignment="1">
      <alignment vertical="center"/>
    </xf>
    <xf numFmtId="0" fontId="33" fillId="0" borderId="29" xfId="0" applyFont="1" applyBorder="1" applyAlignment="1">
      <alignment vertical="center"/>
    </xf>
    <xf numFmtId="0" fontId="1" fillId="5" borderId="50" xfId="0" applyFont="1" applyFill="1" applyBorder="1" applyAlignment="1">
      <alignment horizontal="center" vertical="center" wrapText="1"/>
    </xf>
    <xf numFmtId="0" fontId="1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3" fillId="0" borderId="29" xfId="0" applyFont="1" applyBorder="1" applyAlignment="1">
      <alignment horizontal="center" vertical="center" wrapText="1"/>
    </xf>
    <xf numFmtId="0" fontId="0" fillId="0" borderId="1" xfId="0" applyBorder="1" applyAlignment="1">
      <alignment horizontal="left" vertical="top" wrapText="1"/>
    </xf>
    <xf numFmtId="0" fontId="34" fillId="12" borderId="1" xfId="0" applyFont="1" applyFill="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left" vertical="center" wrapText="1"/>
    </xf>
    <xf numFmtId="0" fontId="34" fillId="0" borderId="1" xfId="0" applyFont="1" applyBorder="1" applyAlignment="1">
      <alignment horizontal="left" vertical="center" wrapText="1"/>
    </xf>
    <xf numFmtId="0" fontId="4" fillId="0" borderId="1" xfId="1" applyBorder="1" applyAlignment="1">
      <alignment horizontal="left" vertical="center" wrapText="1"/>
    </xf>
    <xf numFmtId="0" fontId="36" fillId="0" borderId="1" xfId="0" applyFont="1" applyBorder="1" applyAlignment="1">
      <alignment horizontal="left" vertical="center" wrapText="1"/>
    </xf>
    <xf numFmtId="0" fontId="37" fillId="0" borderId="1" xfId="0" applyFont="1" applyBorder="1" applyAlignment="1">
      <alignment horizontal="left" vertical="center" wrapText="1"/>
    </xf>
    <xf numFmtId="0" fontId="1" fillId="0" borderId="50" xfId="0" applyFont="1" applyBorder="1" applyAlignment="1">
      <alignment horizontal="center" vertical="center" wrapText="1"/>
    </xf>
    <xf numFmtId="14" fontId="1" fillId="0" borderId="1" xfId="0" applyNumberFormat="1" applyFont="1" applyBorder="1" applyAlignment="1">
      <alignment horizontal="center" vertical="center" wrapText="1"/>
    </xf>
    <xf numFmtId="164" fontId="1" fillId="0" borderId="1" xfId="2" applyNumberFormat="1" applyFont="1" applyFill="1" applyBorder="1" applyAlignment="1">
      <alignment horizontal="center" vertical="center" wrapText="1"/>
    </xf>
    <xf numFmtId="41" fontId="1" fillId="0" borderId="1" xfId="4" applyNumberFormat="1" applyFont="1" applyFill="1" applyBorder="1" applyAlignment="1">
      <alignment horizontal="center" vertical="center" wrapText="1"/>
    </xf>
    <xf numFmtId="0" fontId="1" fillId="0" borderId="1" xfId="4" applyNumberFormat="1" applyFont="1" applyFill="1" applyBorder="1" applyAlignment="1">
      <alignment horizontal="center" vertical="center" wrapText="1"/>
    </xf>
    <xf numFmtId="15" fontId="1" fillId="0" borderId="1" xfId="0" applyNumberFormat="1" applyFont="1" applyBorder="1" applyAlignment="1">
      <alignment horizontal="center" vertical="center" wrapText="1"/>
    </xf>
    <xf numFmtId="0" fontId="4" fillId="0" borderId="0" xfId="1" applyAlignment="1">
      <alignment wrapText="1"/>
    </xf>
    <xf numFmtId="0" fontId="10" fillId="0" borderId="0" xfId="0" applyFont="1"/>
    <xf numFmtId="0" fontId="39" fillId="0" borderId="1" xfId="1" applyFont="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xf>
    <xf numFmtId="0" fontId="39" fillId="0" borderId="1" xfId="1" applyFont="1" applyBorder="1" applyAlignment="1">
      <alignment horizontal="left" vertical="center"/>
    </xf>
    <xf numFmtId="0" fontId="1" fillId="5" borderId="1" xfId="0" applyFont="1" applyFill="1" applyBorder="1" applyAlignment="1">
      <alignment horizontal="center"/>
    </xf>
    <xf numFmtId="0" fontId="0" fillId="0" borderId="1" xfId="0" applyBorder="1" applyAlignment="1">
      <alignment horizontal="center"/>
    </xf>
    <xf numFmtId="41" fontId="1" fillId="0" borderId="1" xfId="2" applyFont="1" applyFill="1" applyBorder="1" applyAlignment="1">
      <alignment horizontal="center" vertical="center" wrapText="1"/>
    </xf>
    <xf numFmtId="42" fontId="1" fillId="0" borderId="1" xfId="4" applyFont="1" applyFill="1" applyBorder="1" applyAlignment="1">
      <alignment horizontal="center" vertical="center" wrapText="1"/>
    </xf>
    <xf numFmtId="0" fontId="1" fillId="5" borderId="52" xfId="0" applyFont="1" applyFill="1" applyBorder="1" applyAlignment="1">
      <alignment horizontal="center" vertical="center" wrapText="1"/>
    </xf>
    <xf numFmtId="42" fontId="6" fillId="0" borderId="1" xfId="4" applyFont="1" applyFill="1" applyBorder="1" applyAlignment="1">
      <alignment horizontal="center" vertical="center" wrapText="1"/>
    </xf>
    <xf numFmtId="0" fontId="4" fillId="0" borderId="0" xfId="1" applyAlignment="1">
      <alignment vertical="center" wrapText="1"/>
    </xf>
    <xf numFmtId="0" fontId="4" fillId="0" borderId="1" xfId="1" applyFill="1" applyBorder="1" applyAlignment="1">
      <alignment horizontal="left" vertical="center" wrapText="1"/>
    </xf>
    <xf numFmtId="0" fontId="0" fillId="0" borderId="0" xfId="0" applyAlignment="1">
      <alignment horizontal="center"/>
    </xf>
    <xf numFmtId="41" fontId="20" fillId="5" borderId="12" xfId="2" applyFont="1" applyFill="1" applyBorder="1" applyAlignment="1">
      <alignment horizontal="center" vertical="center" wrapText="1"/>
    </xf>
    <xf numFmtId="14" fontId="31" fillId="0" borderId="5" xfId="0" applyNumberFormat="1" applyFont="1" applyBorder="1" applyAlignment="1">
      <alignment vertical="center"/>
    </xf>
    <xf numFmtId="41" fontId="23" fillId="0" borderId="5" xfId="2" applyFont="1" applyBorder="1" applyAlignment="1">
      <alignment vertical="center"/>
    </xf>
    <xf numFmtId="41" fontId="6" fillId="0" borderId="1" xfId="2" applyFont="1" applyBorder="1" applyAlignment="1">
      <alignment vertical="center"/>
    </xf>
    <xf numFmtId="0" fontId="0" fillId="8" borderId="1" xfId="0" applyFill="1" applyBorder="1" applyAlignment="1">
      <alignment horizontal="center" vertical="center"/>
    </xf>
    <xf numFmtId="0" fontId="1" fillId="0" borderId="6" xfId="0" applyFont="1" applyBorder="1" applyAlignment="1">
      <alignment horizontal="center" vertical="center"/>
    </xf>
    <xf numFmtId="164" fontId="12" fillId="0" borderId="0" xfId="3" applyNumberFormat="1" applyFont="1" applyFill="1" applyBorder="1" applyAlignment="1">
      <alignment vertical="center"/>
    </xf>
    <xf numFmtId="0" fontId="9" fillId="0" borderId="0" xfId="0" applyFont="1" applyAlignment="1">
      <alignment vertical="center" wrapText="1"/>
    </xf>
    <xf numFmtId="41" fontId="0" fillId="0" borderId="0" xfId="0" applyNumberFormat="1" applyAlignment="1">
      <alignment horizontal="center" vertical="center" wrapText="1"/>
    </xf>
    <xf numFmtId="0" fontId="4" fillId="0" borderId="0" xfId="1" applyFill="1" applyBorder="1" applyAlignment="1">
      <alignment wrapText="1"/>
    </xf>
    <xf numFmtId="41" fontId="6" fillId="0" borderId="1" xfId="2" applyFont="1" applyFill="1" applyBorder="1" applyAlignment="1">
      <alignment vertical="center"/>
    </xf>
    <xf numFmtId="0" fontId="4" fillId="0" borderId="0" xfId="1" applyAlignment="1">
      <alignment vertical="center"/>
    </xf>
    <xf numFmtId="0" fontId="4" fillId="0" borderId="1" xfId="1" applyFill="1" applyBorder="1" applyAlignment="1">
      <alignment vertical="center"/>
    </xf>
    <xf numFmtId="0" fontId="0" fillId="0" borderId="51" xfId="0" applyBorder="1" applyAlignment="1">
      <alignment vertical="center" wrapText="1"/>
    </xf>
    <xf numFmtId="41" fontId="0" fillId="0" borderId="54" xfId="2" applyFont="1" applyBorder="1" applyAlignment="1">
      <alignment vertical="center" wrapText="1"/>
    </xf>
    <xf numFmtId="41" fontId="10" fillId="5" borderId="0" xfId="2" applyFont="1" applyFill="1" applyAlignment="1">
      <alignment vertical="center"/>
    </xf>
    <xf numFmtId="0" fontId="10" fillId="2" borderId="0" xfId="0" applyFont="1" applyFill="1" applyAlignment="1">
      <alignment horizontal="center" vertical="center"/>
    </xf>
    <xf numFmtId="0" fontId="10" fillId="0" borderId="0" xfId="0" applyFont="1" applyAlignment="1">
      <alignment horizontal="center" vertical="center"/>
    </xf>
    <xf numFmtId="41" fontId="0" fillId="0" borderId="0" xfId="2" applyFont="1" applyFill="1" applyAlignment="1">
      <alignment vertical="center"/>
    </xf>
    <xf numFmtId="0" fontId="10" fillId="5" borderId="16" xfId="0" applyFont="1" applyFill="1" applyBorder="1" applyAlignment="1">
      <alignment vertical="center"/>
    </xf>
    <xf numFmtId="0" fontId="10" fillId="5" borderId="27" xfId="0" applyFont="1" applyFill="1" applyBorder="1" applyAlignment="1">
      <alignment horizontal="center" vertical="center"/>
    </xf>
    <xf numFmtId="0" fontId="0" fillId="5" borderId="27" xfId="0" applyFill="1" applyBorder="1" applyAlignment="1">
      <alignment vertical="center"/>
    </xf>
    <xf numFmtId="41" fontId="10" fillId="5" borderId="28" xfId="2" applyFont="1" applyFill="1" applyBorder="1" applyAlignment="1">
      <alignment vertical="center"/>
    </xf>
    <xf numFmtId="0" fontId="0" fillId="0" borderId="55" xfId="0" applyBorder="1" applyAlignment="1">
      <alignment vertical="center" wrapText="1"/>
    </xf>
    <xf numFmtId="41" fontId="0" fillId="0" borderId="53" xfId="2" applyFont="1" applyBorder="1" applyAlignment="1">
      <alignment vertical="center" wrapText="1"/>
    </xf>
    <xf numFmtId="0" fontId="0" fillId="13" borderId="23" xfId="0" applyFill="1" applyBorder="1" applyAlignment="1">
      <alignment horizontal="left"/>
    </xf>
    <xf numFmtId="0" fontId="0" fillId="13" borderId="24" xfId="0" applyFill="1" applyBorder="1" applyAlignment="1">
      <alignment wrapText="1"/>
    </xf>
    <xf numFmtId="0" fontId="0" fillId="13" borderId="1" xfId="0" applyFill="1" applyBorder="1" applyAlignment="1">
      <alignment vertical="center" wrapText="1"/>
    </xf>
    <xf numFmtId="41" fontId="0" fillId="13" borderId="1" xfId="2" applyFont="1" applyFill="1" applyBorder="1" applyAlignment="1">
      <alignment vertical="center" wrapText="1"/>
    </xf>
    <xf numFmtId="0" fontId="1" fillId="5" borderId="26" xfId="0" applyFont="1" applyFill="1" applyBorder="1" applyAlignment="1">
      <alignment horizontal="center" wrapText="1"/>
    </xf>
    <xf numFmtId="41" fontId="1" fillId="5" borderId="12" xfId="0" applyNumberFormat="1" applyFont="1" applyFill="1" applyBorder="1" applyAlignment="1">
      <alignment horizontal="center" wrapText="1"/>
    </xf>
    <xf numFmtId="41" fontId="1" fillId="5" borderId="15" xfId="2" applyFont="1" applyFill="1" applyBorder="1" applyAlignment="1">
      <alignment vertical="center" wrapText="1"/>
    </xf>
    <xf numFmtId="41" fontId="20" fillId="5" borderId="58" xfId="2" applyFont="1" applyFill="1" applyBorder="1" applyAlignment="1">
      <alignment horizontal="center" wrapText="1"/>
    </xf>
    <xf numFmtId="41" fontId="20" fillId="5" borderId="59" xfId="2" applyFont="1" applyFill="1" applyBorder="1" applyAlignment="1">
      <alignment horizontal="center" wrapText="1"/>
    </xf>
    <xf numFmtId="41" fontId="1" fillId="5" borderId="60" xfId="2" applyFont="1" applyFill="1" applyBorder="1" applyAlignment="1">
      <alignment vertical="center" wrapText="1"/>
    </xf>
    <xf numFmtId="41" fontId="1" fillId="5" borderId="61" xfId="2" applyFont="1" applyFill="1" applyBorder="1" applyAlignment="1">
      <alignment vertical="center" wrapText="1"/>
    </xf>
    <xf numFmtId="41" fontId="1" fillId="5" borderId="35" xfId="2" applyFont="1" applyFill="1" applyBorder="1" applyAlignment="1">
      <alignment vertical="center" wrapText="1"/>
    </xf>
    <xf numFmtId="41" fontId="20" fillId="5" borderId="58" xfId="2" applyFont="1" applyFill="1" applyBorder="1" applyAlignment="1">
      <alignment horizontal="left" vertical="center" wrapText="1"/>
    </xf>
    <xf numFmtId="41" fontId="20" fillId="5" borderId="59" xfId="2" applyFont="1" applyFill="1" applyBorder="1" applyAlignment="1">
      <alignment horizontal="left" vertical="center" wrapText="1"/>
    </xf>
    <xf numFmtId="41" fontId="20" fillId="0" borderId="0" xfId="2" applyFont="1" applyFill="1" applyBorder="1" applyAlignment="1">
      <alignment horizontal="center" wrapText="1"/>
    </xf>
    <xf numFmtId="0" fontId="0" fillId="0" borderId="0" xfId="0" applyAlignment="1">
      <alignment horizontal="left"/>
    </xf>
    <xf numFmtId="0" fontId="1" fillId="0" borderId="0" xfId="0" applyFont="1" applyAlignment="1">
      <alignment horizontal="center" wrapText="1"/>
    </xf>
    <xf numFmtId="41" fontId="1" fillId="0" borderId="0" xfId="0" applyNumberFormat="1" applyFont="1"/>
    <xf numFmtId="41" fontId="0" fillId="0" borderId="1" xfId="0" applyNumberFormat="1" applyBorder="1"/>
    <xf numFmtId="0" fontId="1" fillId="14" borderId="1" xfId="0" applyFont="1" applyFill="1" applyBorder="1"/>
    <xf numFmtId="41" fontId="1" fillId="14" borderId="1" xfId="0" applyNumberFormat="1" applyFont="1" applyFill="1" applyBorder="1"/>
    <xf numFmtId="41" fontId="10" fillId="0" borderId="0" xfId="2" applyFont="1" applyAlignment="1">
      <alignment vertical="center"/>
    </xf>
    <xf numFmtId="41" fontId="41" fillId="0" borderId="62" xfId="2" applyFont="1" applyBorder="1" applyAlignment="1">
      <alignment vertical="center"/>
    </xf>
    <xf numFmtId="0" fontId="10" fillId="4" borderId="0" xfId="0" applyFont="1" applyFill="1" applyAlignment="1">
      <alignment horizontal="center" vertical="center"/>
    </xf>
    <xf numFmtId="41" fontId="5" fillId="0" borderId="1" xfId="2" applyFont="1" applyFill="1" applyBorder="1" applyAlignment="1">
      <alignment horizontal="center" vertical="center" wrapText="1"/>
    </xf>
    <xf numFmtId="41" fontId="3" fillId="0" borderId="1" xfId="2" applyFont="1" applyFill="1" applyBorder="1" applyAlignment="1">
      <alignment horizontal="center" vertical="center" wrapText="1"/>
    </xf>
    <xf numFmtId="41" fontId="5" fillId="0" borderId="1" xfId="2" applyFont="1" applyBorder="1" applyAlignment="1">
      <alignment vertical="center"/>
    </xf>
    <xf numFmtId="42" fontId="0" fillId="8" borderId="1" xfId="0" applyNumberFormat="1" applyFill="1" applyBorder="1" applyAlignment="1">
      <alignment vertical="center"/>
    </xf>
    <xf numFmtId="0" fontId="0" fillId="0" borderId="9" xfId="0" applyBorder="1" applyAlignment="1">
      <alignment horizontal="center" vertical="center"/>
    </xf>
    <xf numFmtId="0" fontId="0" fillId="0" borderId="10" xfId="2" applyNumberFormat="1" applyFont="1" applyBorder="1" applyAlignment="1">
      <alignment horizontal="center" vertical="center" wrapText="1"/>
    </xf>
    <xf numFmtId="0" fontId="0" fillId="0" borderId="55" xfId="0" applyBorder="1" applyAlignment="1">
      <alignment horizontal="center" vertical="center"/>
    </xf>
    <xf numFmtId="0" fontId="0" fillId="0" borderId="63" xfId="0" applyBorder="1" applyAlignment="1">
      <alignment vertical="center" wrapText="1"/>
    </xf>
    <xf numFmtId="0" fontId="0" fillId="0" borderId="53" xfId="2" applyNumberFormat="1" applyFont="1" applyBorder="1" applyAlignment="1">
      <alignment horizontal="center" vertical="center" wrapText="1"/>
    </xf>
    <xf numFmtId="0" fontId="19" fillId="0" borderId="0" xfId="0" applyFont="1" applyAlignment="1">
      <alignment vertical="center"/>
    </xf>
    <xf numFmtId="0" fontId="15" fillId="0" borderId="1" xfId="0" applyFont="1" applyBorder="1" applyAlignment="1">
      <alignment vertical="center"/>
    </xf>
    <xf numFmtId="0" fontId="35" fillId="0" borderId="29" xfId="0" applyFont="1" applyBorder="1" applyAlignment="1">
      <alignment horizontal="left" vertical="center" wrapText="1"/>
    </xf>
    <xf numFmtId="14" fontId="0" fillId="8" borderId="1" xfId="0" applyNumberFormat="1" applyFill="1" applyBorder="1" applyAlignment="1">
      <alignment vertical="center"/>
    </xf>
    <xf numFmtId="0" fontId="4" fillId="0" borderId="5" xfId="1" applyFill="1" applyBorder="1" applyAlignment="1">
      <alignment vertical="center"/>
    </xf>
    <xf numFmtId="42" fontId="0" fillId="0" borderId="1" xfId="0" applyNumberFormat="1" applyBorder="1" applyAlignment="1">
      <alignment vertical="center"/>
    </xf>
    <xf numFmtId="14" fontId="0" fillId="0" borderId="2" xfId="0" applyNumberFormat="1" applyBorder="1" applyAlignment="1">
      <alignment vertical="center"/>
    </xf>
    <xf numFmtId="0" fontId="4" fillId="0" borderId="2" xfId="1" applyFill="1" applyBorder="1" applyAlignment="1">
      <alignment vertical="center"/>
    </xf>
    <xf numFmtId="0" fontId="4" fillId="8" borderId="5" xfId="1" applyFill="1" applyBorder="1" applyAlignment="1">
      <alignment vertical="center"/>
    </xf>
    <xf numFmtId="0" fontId="44" fillId="0" borderId="1" xfId="0" applyFont="1" applyBorder="1" applyAlignment="1">
      <alignment vertical="center" wrapText="1"/>
    </xf>
    <xf numFmtId="9" fontId="0" fillId="0" borderId="1" xfId="6" applyFont="1" applyFill="1" applyBorder="1" applyAlignment="1">
      <alignment horizontal="center" vertical="center" wrapText="1"/>
    </xf>
    <xf numFmtId="9" fontId="0" fillId="0" borderId="1" xfId="6" applyFont="1" applyBorder="1" applyAlignment="1">
      <alignment horizontal="center" vertical="center"/>
    </xf>
    <xf numFmtId="9" fontId="0" fillId="0" borderId="1" xfId="6" applyFont="1" applyFill="1" applyBorder="1" applyAlignment="1">
      <alignment horizontal="center" vertical="center"/>
    </xf>
    <xf numFmtId="0" fontId="10" fillId="0" borderId="0" xfId="0" applyFont="1" applyAlignment="1">
      <alignment horizontal="center" vertical="center" wrapText="1"/>
    </xf>
    <xf numFmtId="0" fontId="0" fillId="0" borderId="0" xfId="0" applyAlignment="1">
      <alignment horizontal="left" vertical="center"/>
    </xf>
    <xf numFmtId="0" fontId="0" fillId="0" borderId="1" xfId="0" applyBorder="1" applyAlignment="1">
      <alignment horizontal="left" vertical="center"/>
    </xf>
    <xf numFmtId="0" fontId="43" fillId="0" borderId="0" xfId="0" applyFont="1" applyAlignment="1">
      <alignment horizontal="left" vertical="center"/>
    </xf>
    <xf numFmtId="0" fontId="0" fillId="0" borderId="0" xfId="0" applyAlignment="1">
      <alignment horizontal="left" vertical="top" wrapText="1"/>
    </xf>
    <xf numFmtId="3" fontId="0" fillId="0" borderId="1" xfId="0" applyNumberFormat="1" applyBorder="1" applyAlignment="1">
      <alignment horizontal="center" vertical="center"/>
    </xf>
    <xf numFmtId="0" fontId="1" fillId="5" borderId="8" xfId="0" applyFont="1" applyFill="1" applyBorder="1" applyAlignment="1">
      <alignment horizontal="center" vertical="center"/>
    </xf>
    <xf numFmtId="41" fontId="1" fillId="5" borderId="12" xfId="2" applyFont="1" applyFill="1" applyBorder="1" applyAlignment="1">
      <alignment horizontal="center"/>
    </xf>
    <xf numFmtId="0" fontId="11" fillId="0" borderId="1" xfId="0" applyFont="1" applyBorder="1" applyAlignment="1">
      <alignment vertical="center" wrapText="1"/>
    </xf>
    <xf numFmtId="41" fontId="20" fillId="0" borderId="0" xfId="2" applyFont="1" applyFill="1" applyBorder="1" applyAlignment="1">
      <alignment horizontal="left" vertical="center" wrapText="1"/>
    </xf>
    <xf numFmtId="0" fontId="20" fillId="0" borderId="0" xfId="0" applyFont="1"/>
    <xf numFmtId="0" fontId="0" fillId="0" borderId="53" xfId="0" applyBorder="1" applyAlignment="1">
      <alignment horizontal="center" vertical="center"/>
    </xf>
    <xf numFmtId="41" fontId="44" fillId="0" borderId="55" xfId="2" applyFont="1" applyFill="1" applyBorder="1" applyAlignment="1">
      <alignment horizontal="left" vertical="center" wrapText="1"/>
    </xf>
    <xf numFmtId="41" fontId="6" fillId="0" borderId="53" xfId="2" applyFont="1" applyFill="1" applyBorder="1" applyAlignment="1">
      <alignment vertical="center" wrapText="1"/>
    </xf>
    <xf numFmtId="0" fontId="1" fillId="5" borderId="55" xfId="0" applyFont="1" applyFill="1" applyBorder="1" applyAlignment="1">
      <alignment horizontal="center" wrapText="1"/>
    </xf>
    <xf numFmtId="41" fontId="1" fillId="5" borderId="53" xfId="0" applyNumberFormat="1" applyFont="1" applyFill="1" applyBorder="1"/>
    <xf numFmtId="0" fontId="1" fillId="0" borderId="51" xfId="0" applyFont="1" applyBorder="1" applyAlignment="1">
      <alignment horizontal="center" wrapText="1"/>
    </xf>
    <xf numFmtId="41" fontId="1" fillId="0" borderId="54" xfId="0" applyNumberFormat="1" applyFont="1" applyBorder="1"/>
    <xf numFmtId="0" fontId="1" fillId="5" borderId="29" xfId="0" applyFont="1" applyFill="1" applyBorder="1" applyAlignment="1">
      <alignment horizontal="center" wrapText="1"/>
    </xf>
    <xf numFmtId="0" fontId="1" fillId="5" borderId="6" xfId="0" applyFont="1" applyFill="1" applyBorder="1" applyAlignment="1">
      <alignment horizontal="center" wrapText="1"/>
    </xf>
    <xf numFmtId="41" fontId="20" fillId="0" borderId="55" xfId="2" applyFont="1" applyFill="1" applyBorder="1" applyAlignment="1">
      <alignment horizontal="center" wrapText="1"/>
    </xf>
    <xf numFmtId="41" fontId="1" fillId="0" borderId="53" xfId="2" applyFont="1" applyFill="1" applyBorder="1" applyAlignment="1">
      <alignment vertical="center" wrapText="1"/>
    </xf>
    <xf numFmtId="41" fontId="0" fillId="0" borderId="0" xfId="2" applyFont="1"/>
    <xf numFmtId="0" fontId="1" fillId="5" borderId="67" xfId="0" applyFont="1" applyFill="1" applyBorder="1" applyAlignment="1">
      <alignment horizontal="center" wrapText="1"/>
    </xf>
    <xf numFmtId="41" fontId="1" fillId="5" borderId="68" xfId="0" applyNumberFormat="1" applyFont="1" applyFill="1" applyBorder="1"/>
    <xf numFmtId="0" fontId="1" fillId="5" borderId="9" xfId="0" applyFont="1" applyFill="1" applyBorder="1" applyAlignment="1">
      <alignment horizontal="center" wrapText="1"/>
    </xf>
    <xf numFmtId="41" fontId="1" fillId="5" borderId="10" xfId="2" applyFont="1" applyFill="1" applyBorder="1" applyAlignment="1">
      <alignment horizontal="center" wrapText="1"/>
    </xf>
    <xf numFmtId="0" fontId="0" fillId="0" borderId="64" xfId="0" applyBorder="1" applyAlignment="1">
      <alignment vertical="center"/>
    </xf>
    <xf numFmtId="41" fontId="0" fillId="0" borderId="65" xfId="0" applyNumberFormat="1" applyBorder="1" applyAlignment="1">
      <alignment vertical="center"/>
    </xf>
    <xf numFmtId="0" fontId="0" fillId="0" borderId="65" xfId="0" applyBorder="1" applyAlignment="1">
      <alignment vertical="center"/>
    </xf>
    <xf numFmtId="0" fontId="9" fillId="0" borderId="0" xfId="0" applyFont="1" applyAlignment="1">
      <alignment vertical="center"/>
    </xf>
    <xf numFmtId="0" fontId="11" fillId="0" borderId="1" xfId="0" applyFont="1" applyBorder="1" applyAlignment="1">
      <alignment horizontal="left" vertical="center" wrapText="1"/>
    </xf>
    <xf numFmtId="0" fontId="9" fillId="0" borderId="1" xfId="0" applyFont="1" applyBorder="1" applyAlignment="1">
      <alignment vertical="center"/>
    </xf>
    <xf numFmtId="0" fontId="5" fillId="0" borderId="1" xfId="0" applyFont="1" applyBorder="1" applyAlignment="1">
      <alignment horizontal="center" vertical="center"/>
    </xf>
    <xf numFmtId="0" fontId="13" fillId="0" borderId="1" xfId="0" applyFont="1" applyBorder="1" applyAlignment="1">
      <alignment vertical="center" wrapText="1"/>
    </xf>
    <xf numFmtId="0" fontId="47" fillId="7" borderId="1" xfId="0" applyFont="1" applyFill="1" applyBorder="1" applyAlignment="1">
      <alignment horizontal="center" vertical="center"/>
    </xf>
    <xf numFmtId="0" fontId="13" fillId="0" borderId="1" xfId="0" applyFont="1" applyBorder="1" applyAlignment="1">
      <alignment horizontal="center" vertical="center"/>
    </xf>
    <xf numFmtId="0" fontId="48" fillId="0" borderId="1" xfId="0" applyFont="1" applyBorder="1" applyAlignment="1">
      <alignment vertical="center" wrapText="1"/>
    </xf>
    <xf numFmtId="0" fontId="13" fillId="0" borderId="1" xfId="0" applyFont="1" applyBorder="1" applyAlignment="1">
      <alignment vertical="center"/>
    </xf>
    <xf numFmtId="0" fontId="13" fillId="8" borderId="1" xfId="0" applyFont="1" applyFill="1" applyBorder="1" applyAlignment="1">
      <alignment horizontal="center" vertical="center"/>
    </xf>
    <xf numFmtId="0" fontId="13" fillId="0" borderId="1" xfId="0" applyFont="1" applyBorder="1" applyAlignment="1">
      <alignment horizontal="left" vertical="center"/>
    </xf>
    <xf numFmtId="9" fontId="13" fillId="0" borderId="1" xfId="0" applyNumberFormat="1" applyFont="1" applyBorder="1" applyAlignment="1">
      <alignment horizontal="center" vertical="center"/>
    </xf>
    <xf numFmtId="14" fontId="13" fillId="0" borderId="1" xfId="0" applyNumberFormat="1" applyFont="1" applyBorder="1" applyAlignment="1">
      <alignment vertical="center"/>
    </xf>
    <xf numFmtId="0" fontId="49" fillId="0" borderId="1" xfId="1" applyFont="1" applyFill="1" applyBorder="1" applyAlignment="1">
      <alignment vertical="center"/>
    </xf>
    <xf numFmtId="0" fontId="13" fillId="0" borderId="0" xfId="0" applyFont="1" applyAlignment="1">
      <alignment vertical="center"/>
    </xf>
    <xf numFmtId="0" fontId="9" fillId="0" borderId="0" xfId="0" applyFont="1" applyAlignment="1">
      <alignment wrapText="1"/>
    </xf>
    <xf numFmtId="0" fontId="13" fillId="8" borderId="1" xfId="0" applyFont="1" applyFill="1" applyBorder="1" applyAlignment="1">
      <alignment horizontal="left" vertical="center"/>
    </xf>
    <xf numFmtId="0" fontId="48" fillId="0" borderId="1" xfId="0" applyFont="1" applyBorder="1" applyAlignment="1">
      <alignment vertical="center"/>
    </xf>
    <xf numFmtId="0" fontId="13" fillId="0" borderId="2" xfId="0" applyFont="1" applyBorder="1" applyAlignment="1">
      <alignment horizontal="center" vertical="center"/>
    </xf>
    <xf numFmtId="0" fontId="13" fillId="8" borderId="2" xfId="0" applyFont="1" applyFill="1" applyBorder="1" applyAlignment="1">
      <alignment horizontal="center" vertical="center"/>
    </xf>
    <xf numFmtId="0" fontId="13" fillId="0" borderId="2" xfId="0" applyFont="1" applyBorder="1" applyAlignment="1">
      <alignment vertical="center" wrapText="1"/>
    </xf>
    <xf numFmtId="0" fontId="48" fillId="0" borderId="2" xfId="0" applyFont="1" applyBorder="1" applyAlignment="1">
      <alignment vertical="center" wrapText="1"/>
    </xf>
    <xf numFmtId="0" fontId="13" fillId="0" borderId="2" xfId="0" applyFont="1" applyBorder="1" applyAlignment="1">
      <alignment vertical="center"/>
    </xf>
    <xf numFmtId="0" fontId="0" fillId="0" borderId="2" xfId="0" applyBorder="1" applyAlignment="1">
      <alignment vertical="center"/>
    </xf>
    <xf numFmtId="0" fontId="13" fillId="0" borderId="2" xfId="0" applyFont="1" applyBorder="1" applyAlignment="1">
      <alignment horizontal="left" vertical="center"/>
    </xf>
    <xf numFmtId="9" fontId="13" fillId="0" borderId="2" xfId="0" applyNumberFormat="1" applyFont="1" applyBorder="1" applyAlignment="1">
      <alignment horizontal="center" vertical="center"/>
    </xf>
    <xf numFmtId="41" fontId="13" fillId="0" borderId="2" xfId="2" applyFont="1" applyFill="1" applyBorder="1" applyAlignment="1">
      <alignment vertical="center"/>
    </xf>
    <xf numFmtId="14" fontId="13" fillId="0" borderId="2" xfId="0" applyNumberFormat="1" applyFont="1" applyBorder="1" applyAlignment="1">
      <alignment vertical="center"/>
    </xf>
    <xf numFmtId="16" fontId="13" fillId="0" borderId="1" xfId="0" applyNumberFormat="1" applyFont="1" applyBorder="1" applyAlignment="1">
      <alignment horizontal="center" vertical="center"/>
    </xf>
    <xf numFmtId="0" fontId="47" fillId="5" borderId="1" xfId="0" applyFont="1" applyFill="1" applyBorder="1" applyAlignment="1">
      <alignment horizontal="center" vertical="center"/>
    </xf>
    <xf numFmtId="0" fontId="21" fillId="15" borderId="0" xfId="0" applyFont="1" applyFill="1" applyAlignment="1">
      <alignment horizontal="center"/>
    </xf>
    <xf numFmtId="0" fontId="1" fillId="0" borderId="31" xfId="0" applyFont="1" applyBorder="1" applyAlignment="1">
      <alignment horizontal="center"/>
    </xf>
    <xf numFmtId="0" fontId="1" fillId="0" borderId="58" xfId="0" applyFont="1" applyBorder="1" applyAlignment="1">
      <alignment horizontal="center"/>
    </xf>
    <xf numFmtId="0" fontId="1" fillId="0" borderId="20" xfId="0" applyFont="1" applyBorder="1" applyAlignment="1">
      <alignment horizontal="center"/>
    </xf>
    <xf numFmtId="0" fontId="1" fillId="0" borderId="26" xfId="0" applyFont="1" applyBorder="1" applyAlignment="1">
      <alignment horizontal="center"/>
    </xf>
    <xf numFmtId="9" fontId="1" fillId="5" borderId="16" xfId="6" applyFont="1" applyFill="1" applyBorder="1" applyAlignment="1">
      <alignment horizontal="center"/>
    </xf>
    <xf numFmtId="0" fontId="21" fillId="0" borderId="0" xfId="0" applyFont="1" applyAlignment="1">
      <alignment horizontal="center"/>
    </xf>
    <xf numFmtId="0" fontId="41" fillId="0" borderId="0" xfId="0" applyFont="1" applyAlignment="1">
      <alignment horizontal="center" vertical="center"/>
    </xf>
    <xf numFmtId="0" fontId="0" fillId="0" borderId="25" xfId="0" applyBorder="1" applyAlignment="1">
      <alignment horizontal="center"/>
    </xf>
    <xf numFmtId="9" fontId="1" fillId="5" borderId="12" xfId="6" applyFont="1" applyFill="1" applyBorder="1" applyAlignment="1">
      <alignment horizontal="center"/>
    </xf>
    <xf numFmtId="0" fontId="13" fillId="0" borderId="0" xfId="0" applyFont="1" applyAlignment="1">
      <alignment horizontal="center" vertical="center"/>
    </xf>
    <xf numFmtId="9" fontId="0" fillId="0" borderId="0" xfId="6" applyFont="1"/>
    <xf numFmtId="9" fontId="1" fillId="0" borderId="0" xfId="6" applyFont="1" applyFill="1" applyBorder="1" applyAlignment="1">
      <alignment horizontal="center"/>
    </xf>
    <xf numFmtId="0" fontId="0" fillId="0" borderId="69" xfId="0" applyBorder="1" applyAlignment="1">
      <alignment horizontal="center"/>
    </xf>
    <xf numFmtId="0" fontId="0" fillId="0" borderId="66" xfId="0" applyBorder="1" applyAlignment="1">
      <alignment horizontal="center"/>
    </xf>
    <xf numFmtId="41" fontId="0" fillId="0" borderId="0" xfId="2" applyFont="1" applyFill="1" applyBorder="1" applyAlignment="1">
      <alignment horizontal="center"/>
    </xf>
    <xf numFmtId="41" fontId="1" fillId="0" borderId="0" xfId="2" applyFont="1" applyFill="1" applyBorder="1" applyAlignment="1">
      <alignment horizontal="center"/>
    </xf>
    <xf numFmtId="9" fontId="0" fillId="0" borderId="34" xfId="6" applyFont="1" applyBorder="1" applyAlignment="1">
      <alignment horizontal="center" wrapText="1"/>
    </xf>
    <xf numFmtId="9" fontId="0" fillId="0" borderId="63" xfId="6" applyFont="1" applyFill="1" applyBorder="1" applyAlignment="1">
      <alignment horizontal="center" vertical="center" wrapText="1"/>
    </xf>
    <xf numFmtId="9" fontId="13" fillId="0" borderId="57" xfId="6" applyFont="1" applyFill="1" applyBorder="1" applyAlignment="1">
      <alignment horizontal="center" vertical="center" wrapText="1"/>
    </xf>
    <xf numFmtId="167" fontId="0" fillId="0" borderId="63" xfId="2" applyNumberFormat="1" applyFont="1" applyFill="1" applyBorder="1" applyAlignment="1">
      <alignment horizontal="center" vertical="center" wrapText="1"/>
    </xf>
    <xf numFmtId="167" fontId="13" fillId="0" borderId="57" xfId="2" applyNumberFormat="1" applyFont="1" applyFill="1" applyBorder="1" applyAlignment="1">
      <alignment horizontal="center" vertical="center" wrapText="1"/>
    </xf>
    <xf numFmtId="0" fontId="0" fillId="0" borderId="25" xfId="0" applyBorder="1" applyAlignment="1">
      <alignment horizontal="center" wrapText="1"/>
    </xf>
    <xf numFmtId="1" fontId="0" fillId="0" borderId="17" xfId="2" applyNumberFormat="1" applyFont="1" applyFill="1" applyBorder="1" applyAlignment="1">
      <alignment horizontal="center" vertical="center" wrapText="1"/>
    </xf>
    <xf numFmtId="0" fontId="0" fillId="0" borderId="59" xfId="0" applyBorder="1" applyAlignment="1">
      <alignment horizontal="center"/>
    </xf>
    <xf numFmtId="0" fontId="0" fillId="0" borderId="17" xfId="0" applyBorder="1" applyAlignment="1">
      <alignment horizontal="center" vertical="center" wrapText="1"/>
    </xf>
    <xf numFmtId="0" fontId="0" fillId="0" borderId="26" xfId="0" applyBorder="1" applyAlignment="1">
      <alignment horizontal="center" vertical="center" wrapText="1"/>
    </xf>
    <xf numFmtId="41" fontId="13" fillId="0" borderId="17" xfId="2" applyFont="1" applyBorder="1" applyAlignment="1">
      <alignment horizontal="center"/>
    </xf>
    <xf numFmtId="0" fontId="9" fillId="0" borderId="0" xfId="0" applyFont="1"/>
    <xf numFmtId="0" fontId="41" fillId="0" borderId="0" xfId="0" applyFont="1" applyAlignment="1">
      <alignment vertical="center"/>
    </xf>
    <xf numFmtId="0" fontId="10" fillId="0" borderId="0" xfId="0" applyFont="1" applyAlignment="1">
      <alignment vertical="center"/>
    </xf>
    <xf numFmtId="0" fontId="19" fillId="0" borderId="0" xfId="0" applyFont="1" applyAlignment="1">
      <alignment horizontal="center" vertical="center"/>
    </xf>
    <xf numFmtId="9" fontId="5" fillId="0" borderId="0" xfId="6" applyFont="1"/>
    <xf numFmtId="1" fontId="0" fillId="0" borderId="63" xfId="2" applyNumberFormat="1" applyFont="1" applyFill="1" applyBorder="1" applyAlignment="1">
      <alignment horizontal="center" vertical="center" wrapText="1"/>
    </xf>
    <xf numFmtId="1" fontId="13" fillId="0" borderId="57" xfId="2" applyNumberFormat="1" applyFont="1" applyFill="1" applyBorder="1" applyAlignment="1">
      <alignment horizontal="center" vertical="center" wrapText="1"/>
    </xf>
    <xf numFmtId="0" fontId="1" fillId="0" borderId="0" xfId="0" applyFont="1" applyAlignment="1">
      <alignment horizontal="center" vertical="center" wrapText="1"/>
    </xf>
    <xf numFmtId="0" fontId="13" fillId="0" borderId="1" xfId="0" applyFont="1" applyBorder="1" applyAlignment="1">
      <alignment horizontal="left" vertical="center" wrapText="1"/>
    </xf>
    <xf numFmtId="0" fontId="4" fillId="8" borderId="1" xfId="1" applyFill="1" applyBorder="1" applyAlignment="1">
      <alignment vertical="center"/>
    </xf>
    <xf numFmtId="0" fontId="13" fillId="8" borderId="1" xfId="0" applyFont="1" applyFill="1" applyBorder="1" applyAlignment="1">
      <alignment vertical="center"/>
    </xf>
    <xf numFmtId="0" fontId="13" fillId="0" borderId="57" xfId="0" applyFont="1" applyBorder="1" applyAlignment="1">
      <alignment vertical="center" wrapText="1"/>
    </xf>
    <xf numFmtId="0" fontId="47" fillId="0" borderId="1" xfId="0" applyFont="1" applyBorder="1" applyAlignment="1">
      <alignment horizontal="center" vertical="center"/>
    </xf>
    <xf numFmtId="0" fontId="13" fillId="0" borderId="6" xfId="0" applyFont="1" applyBorder="1" applyAlignment="1">
      <alignment vertical="center"/>
    </xf>
    <xf numFmtId="0" fontId="4" fillId="0" borderId="5" xfId="1" applyBorder="1" applyAlignment="1">
      <alignment vertical="center"/>
    </xf>
    <xf numFmtId="0" fontId="0" fillId="0" borderId="31" xfId="0" applyBorder="1" applyAlignment="1">
      <alignment horizontal="center" vertical="center"/>
    </xf>
    <xf numFmtId="0" fontId="0" fillId="0" borderId="60" xfId="0" applyBorder="1" applyAlignment="1">
      <alignment horizontal="center" vertical="center"/>
    </xf>
    <xf numFmtId="0" fontId="0" fillId="0" borderId="15" xfId="0" applyBorder="1" applyAlignment="1">
      <alignment horizontal="center" vertical="center"/>
    </xf>
    <xf numFmtId="0" fontId="1" fillId="5" borderId="16" xfId="0" applyFont="1" applyFill="1" applyBorder="1" applyAlignment="1">
      <alignment horizontal="center" wrapText="1"/>
    </xf>
    <xf numFmtId="0" fontId="1" fillId="5" borderId="28" xfId="0" applyFont="1" applyFill="1" applyBorder="1" applyAlignment="1">
      <alignment horizontal="center" wrapText="1"/>
    </xf>
    <xf numFmtId="0" fontId="21" fillId="0" borderId="0" xfId="0" applyFont="1" applyAlignment="1">
      <alignment horizontal="center"/>
    </xf>
    <xf numFmtId="0" fontId="21" fillId="9" borderId="0" xfId="0" applyFont="1" applyFill="1" applyAlignment="1">
      <alignment horizontal="center"/>
    </xf>
    <xf numFmtId="0" fontId="0" fillId="13" borderId="56" xfId="0" applyFill="1" applyBorder="1" applyAlignment="1">
      <alignment horizontal="center"/>
    </xf>
    <xf numFmtId="0" fontId="0" fillId="13" borderId="33" xfId="0" applyFill="1" applyBorder="1" applyAlignment="1">
      <alignment horizontal="center"/>
    </xf>
    <xf numFmtId="0" fontId="0" fillId="13" borderId="19" xfId="0" applyFill="1" applyBorder="1" applyAlignment="1">
      <alignment horizontal="center" vertical="center"/>
    </xf>
    <xf numFmtId="0" fontId="0" fillId="13" borderId="34" xfId="0" applyFill="1" applyBorder="1" applyAlignment="1">
      <alignment horizontal="center" vertical="center"/>
    </xf>
    <xf numFmtId="0" fontId="0" fillId="13" borderId="1" xfId="0" applyFill="1" applyBorder="1" applyAlignment="1">
      <alignment horizontal="center" vertical="center" wrapText="1"/>
    </xf>
    <xf numFmtId="0" fontId="21" fillId="10" borderId="16" xfId="0" applyFont="1" applyFill="1" applyBorder="1" applyAlignment="1">
      <alignment horizontal="center"/>
    </xf>
    <xf numFmtId="0" fontId="21" fillId="10" borderId="27" xfId="0" applyFont="1" applyFill="1" applyBorder="1" applyAlignment="1">
      <alignment horizontal="center"/>
    </xf>
    <xf numFmtId="41" fontId="20" fillId="5" borderId="31" xfId="2" applyFont="1" applyFill="1" applyBorder="1" applyAlignment="1">
      <alignment horizontal="center" vertical="center" wrapText="1"/>
    </xf>
    <xf numFmtId="41" fontId="20" fillId="5" borderId="15" xfId="2" applyFont="1" applyFill="1" applyBorder="1" applyAlignment="1">
      <alignment horizontal="center" vertical="center" wrapText="1"/>
    </xf>
    <xf numFmtId="0" fontId="21" fillId="10" borderId="16" xfId="0" applyFont="1" applyFill="1" applyBorder="1" applyAlignment="1">
      <alignment horizontal="center" vertical="center"/>
    </xf>
    <xf numFmtId="0" fontId="21" fillId="10" borderId="28" xfId="0" applyFont="1" applyFill="1" applyBorder="1" applyAlignment="1">
      <alignment horizontal="center" vertical="center"/>
    </xf>
    <xf numFmtId="0" fontId="21" fillId="10" borderId="28" xfId="0" applyFont="1" applyFill="1" applyBorder="1" applyAlignment="1">
      <alignment horizontal="center"/>
    </xf>
    <xf numFmtId="0" fontId="1" fillId="2" borderId="16"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10" fillId="5" borderId="0" xfId="0" applyFont="1" applyFill="1" applyAlignment="1">
      <alignment horizontal="center" vertical="center"/>
    </xf>
    <xf numFmtId="0" fontId="1" fillId="0" borderId="0" xfId="0" applyFont="1" applyAlignment="1">
      <alignment horizontal="center" vertical="center"/>
    </xf>
    <xf numFmtId="0" fontId="1" fillId="0" borderId="8" xfId="0" applyFont="1" applyBorder="1" applyAlignment="1">
      <alignment horizontal="center" vertical="center"/>
    </xf>
    <xf numFmtId="0" fontId="1" fillId="4" borderId="1" xfId="0" applyFont="1" applyFill="1" applyBorder="1" applyAlignment="1">
      <alignment horizontal="center" vertical="center"/>
    </xf>
    <xf numFmtId="0" fontId="41" fillId="0" borderId="0" xfId="0" applyFont="1" applyAlignment="1">
      <alignment horizontal="center" vertical="center"/>
    </xf>
    <xf numFmtId="0" fontId="10" fillId="0" borderId="0" xfId="0" applyFont="1" applyAlignment="1">
      <alignment horizontal="center" vertical="center"/>
    </xf>
    <xf numFmtId="0" fontId="10" fillId="5" borderId="48" xfId="0" applyFont="1" applyFill="1" applyBorder="1" applyAlignment="1">
      <alignment horizontal="center" vertical="center"/>
    </xf>
    <xf numFmtId="0" fontId="10" fillId="5" borderId="7"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0" borderId="0" xfId="0" applyFont="1" applyAlignment="1">
      <alignment horizontal="center"/>
    </xf>
    <xf numFmtId="0" fontId="1" fillId="0" borderId="8" xfId="0" applyFont="1" applyBorder="1" applyAlignment="1">
      <alignment horizontal="center"/>
    </xf>
    <xf numFmtId="0" fontId="1" fillId="4" borderId="4" xfId="0" applyFont="1" applyFill="1" applyBorder="1" applyAlignment="1">
      <alignment horizontal="center"/>
    </xf>
    <xf numFmtId="0" fontId="1" fillId="4" borderId="5" xfId="0" applyFont="1" applyFill="1" applyBorder="1" applyAlignment="1">
      <alignment horizontal="center"/>
    </xf>
    <xf numFmtId="0" fontId="1" fillId="4" borderId="1"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38" fillId="0" borderId="0" xfId="0" applyFont="1" applyAlignment="1">
      <alignment horizontal="left" vertical="center" wrapText="1"/>
    </xf>
    <xf numFmtId="0" fontId="21" fillId="10" borderId="51" xfId="0" applyFont="1" applyFill="1" applyBorder="1" applyAlignment="1">
      <alignment horizontal="center"/>
    </xf>
    <xf numFmtId="0" fontId="21" fillId="10" borderId="0" xfId="0" applyFont="1" applyFill="1" applyAlignment="1">
      <alignment horizontal="center"/>
    </xf>
  </cellXfs>
  <cellStyles count="7">
    <cellStyle name="Hipervínculo" xfId="1" builtinId="8"/>
    <cellStyle name="Hyperlink" xfId="5" xr:uid="{00000000-000B-0000-0000-000008000000}"/>
    <cellStyle name="Millares" xfId="3" builtinId="3"/>
    <cellStyle name="Millares [0]" xfId="2" builtinId="6"/>
    <cellStyle name="Moneda [0]" xfId="4" builtinId="7"/>
    <cellStyle name="Normal" xfId="0" builtinId="0"/>
    <cellStyle name="Porcentaje"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3" Type="http://schemas.openxmlformats.org/officeDocument/2006/relationships/hyperlink" Target="https://doi.org/10.1016/j.vhri.2024.101063" TargetMode="External"/><Relationship Id="rId18" Type="http://schemas.openxmlformats.org/officeDocument/2006/relationships/hyperlink" Target="https://doi.org/10.1057/s41599-024-04259-9" TargetMode="External"/><Relationship Id="rId26" Type="http://schemas.openxmlformats.org/officeDocument/2006/relationships/hyperlink" Target="https://doi.org/10.3389/fonc.2025.1589724" TargetMode="External"/><Relationship Id="rId39" Type="http://schemas.openxmlformats.org/officeDocument/2006/relationships/hyperlink" Target="https://doi.org/10.1200/CCI-25-00035" TargetMode="External"/><Relationship Id="rId21" Type="http://schemas.openxmlformats.org/officeDocument/2006/relationships/hyperlink" Target="https://doi.org/10.3390/ijms26031168" TargetMode="External"/><Relationship Id="rId34" Type="http://schemas.openxmlformats.org/officeDocument/2006/relationships/hyperlink" Target="http://doi/10.5334/gh.1355" TargetMode="External"/><Relationship Id="rId42" Type="http://schemas.openxmlformats.org/officeDocument/2006/relationships/hyperlink" Target="https://doi.org/10.1371/journal.pone.0325252" TargetMode="External"/><Relationship Id="rId47" Type="http://schemas.openxmlformats.org/officeDocument/2006/relationships/hyperlink" Target="https://doi.org/10.1016/j.omton.2025.200935" TargetMode="External"/><Relationship Id="rId50" Type="http://schemas.openxmlformats.org/officeDocument/2006/relationships/hyperlink" Target="https://doi.org/10.1016/j.crmicr.2025.100440" TargetMode="External"/><Relationship Id="rId55" Type="http://schemas.openxmlformats.org/officeDocument/2006/relationships/hyperlink" Target="https://doi.org/10.1016/j.jpainsymman.2025.10.003" TargetMode="External"/><Relationship Id="rId7" Type="http://schemas.openxmlformats.org/officeDocument/2006/relationships/hyperlink" Target="https://doi.org/10.2196/60169" TargetMode="External"/><Relationship Id="rId2" Type="http://schemas.openxmlformats.org/officeDocument/2006/relationships/hyperlink" Target="https://doi.org/10.1186/s40659-024-00574-2" TargetMode="External"/><Relationship Id="rId16" Type="http://schemas.openxmlformats.org/officeDocument/2006/relationships/hyperlink" Target="https://doi.org/10.1016/j.apmr.2025.03.002" TargetMode="External"/><Relationship Id="rId29" Type="http://schemas.openxmlformats.org/officeDocument/2006/relationships/hyperlink" Target="https://doi.org/10.1158/2767-9764.CRC-25-0014" TargetMode="External"/><Relationship Id="rId11" Type="http://schemas.openxmlformats.org/officeDocument/2006/relationships/hyperlink" Target="https://doi.org/10.1016/j.imu.2025.101625" TargetMode="External"/><Relationship Id="rId24" Type="http://schemas.openxmlformats.org/officeDocument/2006/relationships/hyperlink" Target="https://doi.org/10.1016/j.lana.2025.101201" TargetMode="External"/><Relationship Id="rId32" Type="http://schemas.openxmlformats.org/officeDocument/2006/relationships/hyperlink" Target="https://doi.org/10.1016/j.thromres.2025.109448" TargetMode="External"/><Relationship Id="rId37" Type="http://schemas.openxmlformats.org/officeDocument/2006/relationships/hyperlink" Target="https://doi.org/10.4067/s0716-10182025000200119" TargetMode="External"/><Relationship Id="rId40" Type="http://schemas.openxmlformats.org/officeDocument/2006/relationships/hyperlink" Target="https://doi.org/10.3389/fonc.2025.1684617" TargetMode="External"/><Relationship Id="rId45" Type="http://schemas.openxmlformats.org/officeDocument/2006/relationships/hyperlink" Target="https://doi.org/10.3390/biomedicines13030687" TargetMode="External"/><Relationship Id="rId53" Type="http://schemas.openxmlformats.org/officeDocument/2006/relationships/hyperlink" Target="https://doi.org/10.1001/jamanetworkopen.2025.10298" TargetMode="External"/><Relationship Id="rId58" Type="http://schemas.openxmlformats.org/officeDocument/2006/relationships/hyperlink" Target="https://doi.org/10.4067/s0034-98872025000800576" TargetMode="External"/><Relationship Id="rId5" Type="http://schemas.openxmlformats.org/officeDocument/2006/relationships/hyperlink" Target="https://doi:%2010.3389/fpubh.2025.1531751" TargetMode="External"/><Relationship Id="rId61" Type="http://schemas.openxmlformats.org/officeDocument/2006/relationships/comments" Target="../comments1.xml"/><Relationship Id="rId19" Type="http://schemas.openxmlformats.org/officeDocument/2006/relationships/hyperlink" Target="https://doi.org/10.1016/j.esmoop.2025.104482" TargetMode="External"/><Relationship Id="rId14" Type="http://schemas.openxmlformats.org/officeDocument/2006/relationships/hyperlink" Target="https://doi.org/10.1053/j.gastro.2024.12.015" TargetMode="External"/><Relationship Id="rId22" Type="http://schemas.openxmlformats.org/officeDocument/2006/relationships/hyperlink" Target="https://doi.org/10.1016/j.jcpo.2025.100559" TargetMode="External"/><Relationship Id="rId27" Type="http://schemas.openxmlformats.org/officeDocument/2006/relationships/hyperlink" Target="https://doi.org/10.1093/ije/dyaf127" TargetMode="External"/><Relationship Id="rId30" Type="http://schemas.openxmlformats.org/officeDocument/2006/relationships/hyperlink" Target="https://doi.org/10.1007/s10549-025-07765-9" TargetMode="External"/><Relationship Id="rId35" Type="http://schemas.openxmlformats.org/officeDocument/2006/relationships/hyperlink" Target="https://doi.org/10.1101/2025.06.02.25328831" TargetMode="External"/><Relationship Id="rId43" Type="http://schemas.openxmlformats.org/officeDocument/2006/relationships/hyperlink" Target="https://doi.org/10.1177/19475535251379990" TargetMode="External"/><Relationship Id="rId48" Type="http://schemas.openxmlformats.org/officeDocument/2006/relationships/hyperlink" Target="https://doi.org/10.14309/ajg.0000000000003301" TargetMode="External"/><Relationship Id="rId56" Type="http://schemas.openxmlformats.org/officeDocument/2006/relationships/hyperlink" Target="https://doi.org/10.1016/j.jpainsymman.2025.10.016" TargetMode="External"/><Relationship Id="rId8" Type="http://schemas.openxmlformats.org/officeDocument/2006/relationships/hyperlink" Target="https://doi.org/10.1136/bmjopen-2024-084914" TargetMode="External"/><Relationship Id="rId51" Type="http://schemas.openxmlformats.org/officeDocument/2006/relationships/hyperlink" Target="https://doi.org/10.1177/17562848251325461" TargetMode="External"/><Relationship Id="rId3" Type="http://schemas.openxmlformats.org/officeDocument/2006/relationships/hyperlink" Target="https://doi.org/10.1007/s10120-024-01578-3" TargetMode="External"/><Relationship Id="rId12" Type="http://schemas.openxmlformats.org/officeDocument/2006/relationships/hyperlink" Target="https://doi.org/10.1371/journal.pone.0315589" TargetMode="External"/><Relationship Id="rId17" Type="http://schemas.openxmlformats.org/officeDocument/2006/relationships/hyperlink" Target="https://doi.org/10.1080/15313204.2025.2510210" TargetMode="External"/><Relationship Id="rId25" Type="http://schemas.openxmlformats.org/officeDocument/2006/relationships/hyperlink" Target="https://doi.org/10.1136/bmjopen-2024-097015" TargetMode="External"/><Relationship Id="rId33" Type="http://schemas.openxmlformats.org/officeDocument/2006/relationships/hyperlink" Target="https://doi.org/10.1371/journal.pone.0314376" TargetMode="External"/><Relationship Id="rId38" Type="http://schemas.openxmlformats.org/officeDocument/2006/relationships/hyperlink" Target="https://doi.org/10.1136/gutjnl-2025-335523" TargetMode="External"/><Relationship Id="rId46" Type="http://schemas.openxmlformats.org/officeDocument/2006/relationships/hyperlink" Target="https://doi.org/10.1093/fampra/cmae078" TargetMode="External"/><Relationship Id="rId59" Type="http://schemas.openxmlformats.org/officeDocument/2006/relationships/printerSettings" Target="../printerSettings/printerSettings4.bin"/><Relationship Id="rId20" Type="http://schemas.openxmlformats.org/officeDocument/2006/relationships/hyperlink" Target="https://doi.org/10.1016/j.neo.2025.101204" TargetMode="External"/><Relationship Id="rId41" Type="http://schemas.openxmlformats.org/officeDocument/2006/relationships/hyperlink" Target="https://doi.org/10.47892/rgp.2025.453.1943" TargetMode="External"/><Relationship Id="rId54" Type="http://schemas.openxmlformats.org/officeDocument/2006/relationships/hyperlink" Target="https://doi.org/10.1089/bio.2024.0158" TargetMode="External"/><Relationship Id="rId1" Type="http://schemas.openxmlformats.org/officeDocument/2006/relationships/hyperlink" Target="https://doi.org/10.1016/j.curtheres.2024.100765" TargetMode="External"/><Relationship Id="rId6" Type="http://schemas.openxmlformats.org/officeDocument/2006/relationships/hyperlink" Target="https://doi.org/10.1017/S1478951525000252" TargetMode="External"/><Relationship Id="rId15" Type="http://schemas.openxmlformats.org/officeDocument/2006/relationships/hyperlink" Target="https://doi.org/10.1111/hel.70024" TargetMode="External"/><Relationship Id="rId23" Type="http://schemas.openxmlformats.org/officeDocument/2006/relationships/hyperlink" Target="https://doi.org/10.3390/cimb47080599" TargetMode="External"/><Relationship Id="rId28" Type="http://schemas.openxmlformats.org/officeDocument/2006/relationships/hyperlink" Target="https://doi.org/10.1038/s41416-025-02979-6" TargetMode="External"/><Relationship Id="rId36" Type="http://schemas.openxmlformats.org/officeDocument/2006/relationships/hyperlink" Target="https://doi.org/10.4067/s0716-10182025000200119" TargetMode="External"/><Relationship Id="rId49" Type="http://schemas.openxmlformats.org/officeDocument/2006/relationships/hyperlink" Target="https://doi.org/10.1002/ijgo.70279." TargetMode="External"/><Relationship Id="rId57" Type="http://schemas.openxmlformats.org/officeDocument/2006/relationships/hyperlink" Target="https://doi.org/10.1016/S2214-109X(24)00476-5" TargetMode="External"/><Relationship Id="rId10" Type="http://schemas.openxmlformats.org/officeDocument/2006/relationships/hyperlink" Target="https://doi.org/10.3390/healthcare13101133" TargetMode="External"/><Relationship Id="rId31" Type="http://schemas.openxmlformats.org/officeDocument/2006/relationships/hyperlink" Target="http://doi.org/10.3389/fimmu.2025.1600792" TargetMode="External"/><Relationship Id="rId44" Type="http://schemas.openxmlformats.org/officeDocument/2006/relationships/hyperlink" Target="https://doi.org/10.5867/medwave.2025.03.3033" TargetMode="External"/><Relationship Id="rId52" Type="http://schemas.openxmlformats.org/officeDocument/2006/relationships/hyperlink" Target="https://doi.org/10.3389/fonc.2025.1658528" TargetMode="External"/><Relationship Id="rId60" Type="http://schemas.openxmlformats.org/officeDocument/2006/relationships/vmlDrawing" Target="../drawings/vmlDrawing1.vml"/><Relationship Id="rId4" Type="http://schemas.openxmlformats.org/officeDocument/2006/relationships/hyperlink" Target="https://doi.org/10.3390/cancers17030406" TargetMode="External"/><Relationship Id="rId9" Type="http://schemas.openxmlformats.org/officeDocument/2006/relationships/hyperlink" Target="https://doi.org/10.1007/s00520-025-09426-5"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nature.com/articles/s41598-024-58920-z" TargetMode="External"/><Relationship Id="rId18" Type="http://schemas.openxmlformats.org/officeDocument/2006/relationships/hyperlink" Target="https://doi.org/10.3390/ijms25063332" TargetMode="External"/><Relationship Id="rId26" Type="http://schemas.openxmlformats.org/officeDocument/2006/relationships/hyperlink" Target="https://www.tandfonline.com/doi/full/10.1080/23288604.2024.2314482" TargetMode="External"/><Relationship Id="rId39" Type="http://schemas.openxmlformats.org/officeDocument/2006/relationships/hyperlink" Target="https://doi.org/10.2144/fsoa-2023-0032" TargetMode="External"/><Relationship Id="rId21" Type="http://schemas.openxmlformats.org/officeDocument/2006/relationships/hyperlink" Target="https://gut.bmj.com/content/early/2023/12/26/gutjnl-2023-331059.long" TargetMode="External"/><Relationship Id="rId34" Type="http://schemas.openxmlformats.org/officeDocument/2006/relationships/hyperlink" Target="https://onlinelibrary.wiley.com/doi/10.1002/ueg2.12605" TargetMode="External"/><Relationship Id="rId42" Type="http://schemas.openxmlformats.org/officeDocument/2006/relationships/hyperlink" Target="http://dx.doi.org/10.2471/BLT.24.291783" TargetMode="External"/><Relationship Id="rId47" Type="http://schemas.openxmlformats.org/officeDocument/2006/relationships/hyperlink" Target="https://ascopubs.org/doi/10.1200/GO.24.00090" TargetMode="External"/><Relationship Id="rId50" Type="http://schemas.openxmlformats.org/officeDocument/2006/relationships/hyperlink" Target="https://doi.org/10.1080/13669877.2024.2387355" TargetMode="External"/><Relationship Id="rId55" Type="http://schemas.openxmlformats.org/officeDocument/2006/relationships/hyperlink" Target="https://www.sciencedirect.com/science/article/pii/S0885392424007085?via%3Dihub" TargetMode="External"/><Relationship Id="rId7" Type="http://schemas.openxmlformats.org/officeDocument/2006/relationships/hyperlink" Target="https://www.medwave.cl/enfoques/comunicacionesbreves/2771.html" TargetMode="External"/><Relationship Id="rId2" Type="http://schemas.openxmlformats.org/officeDocument/2006/relationships/hyperlink" Target="https://doi.org/10.3390/diagnostics14060619" TargetMode="External"/><Relationship Id="rId16" Type="http://schemas.openxmlformats.org/officeDocument/2006/relationships/hyperlink" Target="https://doi.org/10.1016/j.gastrohep.2024.01.008" TargetMode="External"/><Relationship Id="rId29" Type="http://schemas.openxmlformats.org/officeDocument/2006/relationships/hyperlink" Target="https://doi.org/10.3389/fphar.2024.1376638" TargetMode="External"/><Relationship Id="rId11" Type="http://schemas.openxmlformats.org/officeDocument/2006/relationships/hyperlink" Target="https://www.mdpi.com/1422-0067/25/9/4695" TargetMode="External"/><Relationship Id="rId24" Type="http://schemas.openxmlformats.org/officeDocument/2006/relationships/hyperlink" Target="https://doi.org/10.1186/s13023-024-03249-z" TargetMode="External"/><Relationship Id="rId32" Type="http://schemas.openxmlformats.org/officeDocument/2006/relationships/hyperlink" Target="https://doi.org/10.3390/pharmaceutics16040561" TargetMode="External"/><Relationship Id="rId37" Type="http://schemas.openxmlformats.org/officeDocument/2006/relationships/hyperlink" Target="https://www.mdpi.com/2072-6694/16/1/80" TargetMode="External"/><Relationship Id="rId40" Type="http://schemas.openxmlformats.org/officeDocument/2006/relationships/hyperlink" Target="https://www.tandfonline.com/doi/full/10.2144/fsoa-2023-0032" TargetMode="External"/><Relationship Id="rId45" Type="http://schemas.openxmlformats.org/officeDocument/2006/relationships/hyperlink" Target="https://onlinelibrary.wiley.com/doi/10.1002/ijc.35138?msockid=057d8d31c5b068db11d39950c45d69c5" TargetMode="External"/><Relationship Id="rId53" Type="http://schemas.openxmlformats.org/officeDocument/2006/relationships/hyperlink" Target="https://www.sciencedirect.com/science/article/pii/S0188440924001565?via%3Dihub" TargetMode="External"/><Relationship Id="rId5" Type="http://schemas.openxmlformats.org/officeDocument/2006/relationships/hyperlink" Target="https://www.frontiersin.org/journals/public-health/articles/10.3389/fpubh.2023.1302640/full" TargetMode="External"/><Relationship Id="rId10" Type="http://schemas.openxmlformats.org/officeDocument/2006/relationships/hyperlink" Target="https://www.mdpi.com/1422-0067/25/9/4695" TargetMode="External"/><Relationship Id="rId19" Type="http://schemas.openxmlformats.org/officeDocument/2006/relationships/hyperlink" Target="https://www.mdpi.com/1422-0067/25/6/3332" TargetMode="External"/><Relationship Id="rId31" Type="http://schemas.openxmlformats.org/officeDocument/2006/relationships/hyperlink" Target="https://doi.org/10.3390/pharmaceutics16040561" TargetMode="External"/><Relationship Id="rId44" Type="http://schemas.openxmlformats.org/officeDocument/2006/relationships/hyperlink" Target="https://www.scielo.cl/scielo.php?script=sci_arttext&amp;pid=S0034-98872024000100008" TargetMode="External"/><Relationship Id="rId52" Type="http://schemas.openxmlformats.org/officeDocument/2006/relationships/hyperlink" Target="https://doi.org/10.1016/j.arcmed.2024.103105" TargetMode="External"/><Relationship Id="rId4" Type="http://schemas.openxmlformats.org/officeDocument/2006/relationships/hyperlink" Target="https://doi.org/10.3389/fpubh.2023.1302640" TargetMode="External"/><Relationship Id="rId9" Type="http://schemas.openxmlformats.org/officeDocument/2006/relationships/hyperlink" Target="https://www.frontiersin.org/journals/oncology/articles/10.3389/fonc.2024.1356014/full" TargetMode="External"/><Relationship Id="rId14" Type="http://schemas.openxmlformats.org/officeDocument/2006/relationships/hyperlink" Target="https://doi.org/10.1016/j.jcpo.2024.100470" TargetMode="External"/><Relationship Id="rId22" Type="http://schemas.openxmlformats.org/officeDocument/2006/relationships/hyperlink" Target="https://doi.org/10.3390/ijms25126740" TargetMode="External"/><Relationship Id="rId27" Type="http://schemas.openxmlformats.org/officeDocument/2006/relationships/hyperlink" Target="https://doi.org/10.3390/biomedicines12040728" TargetMode="External"/><Relationship Id="rId30" Type="http://schemas.openxmlformats.org/officeDocument/2006/relationships/hyperlink" Target="https://www.frontiersin.org/journals/pharmacology/articles/10.3389/fphar.2024.1376638/full" TargetMode="External"/><Relationship Id="rId35" Type="http://schemas.openxmlformats.org/officeDocument/2006/relationships/hyperlink" Target="https://www.tandfonline.com/doi/full/10.1080/19490976.2024.2379440" TargetMode="External"/><Relationship Id="rId43" Type="http://schemas.openxmlformats.org/officeDocument/2006/relationships/hyperlink" Target="https://www.ncbi.nlm.nih.gov/pmc/articles/PMC11276157/pdf/BLT.24.291783.pdf" TargetMode="External"/><Relationship Id="rId48" Type="http://schemas.openxmlformats.org/officeDocument/2006/relationships/hyperlink" Target="https://www.medwave.cl/investigacion/estudios/2801.html" TargetMode="External"/><Relationship Id="rId56" Type="http://schemas.openxmlformats.org/officeDocument/2006/relationships/printerSettings" Target="../printerSettings/printerSettings5.bin"/><Relationship Id="rId8" Type="http://schemas.openxmlformats.org/officeDocument/2006/relationships/hyperlink" Target="https://doi.org/10.3389/fonc.2024.1356014" TargetMode="External"/><Relationship Id="rId51" Type="http://schemas.openxmlformats.org/officeDocument/2006/relationships/hyperlink" Target="https://www.tandfonline.com/doi/full/10.1080/13669877.2024.2387355" TargetMode="External"/><Relationship Id="rId3" Type="http://schemas.openxmlformats.org/officeDocument/2006/relationships/hyperlink" Target="https://www.mdpi.com/2075-4418/14/6/619" TargetMode="External"/><Relationship Id="rId12" Type="http://schemas.openxmlformats.org/officeDocument/2006/relationships/hyperlink" Target="https://doi.org/10.1038/s41598-024-58920-z" TargetMode="External"/><Relationship Id="rId17" Type="http://schemas.openxmlformats.org/officeDocument/2006/relationships/hyperlink" Target="https://www.sciencedirect.com/science/article/abs/pii/S0210570524000268?via%3Dihub" TargetMode="External"/><Relationship Id="rId25" Type="http://schemas.openxmlformats.org/officeDocument/2006/relationships/hyperlink" Target="https://ojrd.biomedcentral.com/articles/10.1186/s13023-024-03249-z" TargetMode="External"/><Relationship Id="rId33" Type="http://schemas.openxmlformats.org/officeDocument/2006/relationships/hyperlink" Target="https://doi.org/10.1002/ueg2.12605" TargetMode="External"/><Relationship Id="rId38" Type="http://schemas.openxmlformats.org/officeDocument/2006/relationships/hyperlink" Target="https://www.sciencedirect.com/science/article/pii/S0033350624003500?via%3Dihub" TargetMode="External"/><Relationship Id="rId46" Type="http://schemas.openxmlformats.org/officeDocument/2006/relationships/hyperlink" Target="https://doi.org/10.1200/GO.24.00090" TargetMode="External"/><Relationship Id="rId20" Type="http://schemas.openxmlformats.org/officeDocument/2006/relationships/hyperlink" Target="https://doi.org/10.1136/gutjnl-2023-331059" TargetMode="External"/><Relationship Id="rId41" Type="http://schemas.openxmlformats.org/officeDocument/2006/relationships/hyperlink" Target="https://doi.org/10.1002/ijc.35138" TargetMode="External"/><Relationship Id="rId54" Type="http://schemas.openxmlformats.org/officeDocument/2006/relationships/hyperlink" Target="https://doi.org/10.1016/j.jpainsymman.2024.03.027" TargetMode="External"/><Relationship Id="rId1" Type="http://schemas.openxmlformats.org/officeDocument/2006/relationships/hyperlink" Target="https://www.mdpi.com/2409-9279/7/2/24" TargetMode="External"/><Relationship Id="rId6" Type="http://schemas.openxmlformats.org/officeDocument/2006/relationships/hyperlink" Target="https://doi.org/10.5867/medwave.2024.01.2771" TargetMode="External"/><Relationship Id="rId15" Type="http://schemas.openxmlformats.org/officeDocument/2006/relationships/hyperlink" Target="https://www.sciencedirect.com/science/article/pii/S2213538324000043?via%3Dihub" TargetMode="External"/><Relationship Id="rId23" Type="http://schemas.openxmlformats.org/officeDocument/2006/relationships/hyperlink" Target="https://www.mdpi.com/1422-0067/25/12/6740" TargetMode="External"/><Relationship Id="rId28" Type="http://schemas.openxmlformats.org/officeDocument/2006/relationships/hyperlink" Target="https://www.mdpi.com/2227-9059/12/4/728" TargetMode="External"/><Relationship Id="rId36" Type="http://schemas.openxmlformats.org/officeDocument/2006/relationships/hyperlink" Target="https://doi.org/10.3390/cancers16010080" TargetMode="External"/><Relationship Id="rId49" Type="http://schemas.openxmlformats.org/officeDocument/2006/relationships/hyperlink" Target="https://www.medwave.cl/investigacion/estudios/2801.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pubmed.ncbi.nlm.nih.gov/37047267/" TargetMode="External"/><Relationship Id="rId13" Type="http://schemas.openxmlformats.org/officeDocument/2006/relationships/hyperlink" Target="https://www.ncbi.nlm.nih.gov/pmc/articles/PMC10578190/pdf/KGMI_15_2263936.pdf" TargetMode="External"/><Relationship Id="rId18" Type="http://schemas.openxmlformats.org/officeDocument/2006/relationships/hyperlink" Target="https://doi.org/10.1016/j.lana.2023.100608" TargetMode="External"/><Relationship Id="rId26" Type="http://schemas.openxmlformats.org/officeDocument/2006/relationships/hyperlink" Target="https://doi.org/10.1186/s12939-023-01972-w" TargetMode="External"/><Relationship Id="rId3" Type="http://schemas.openxmlformats.org/officeDocument/2006/relationships/hyperlink" Target="https://pubmed.ncbi.nlm.nih.gov/37598725/" TargetMode="External"/><Relationship Id="rId21" Type="http://schemas.openxmlformats.org/officeDocument/2006/relationships/hyperlink" Target="https://doi.org/10.1093/cid/ciad283" TargetMode="External"/><Relationship Id="rId7" Type="http://schemas.openxmlformats.org/officeDocument/2006/relationships/hyperlink" Target="https://pubmed.ncbi.nlm.nih.gov/37108401/" TargetMode="External"/><Relationship Id="rId12" Type="http://schemas.openxmlformats.org/officeDocument/2006/relationships/hyperlink" Target="https://www.mdpi.com/2072-6694/15/4/1156" TargetMode="External"/><Relationship Id="rId17" Type="http://schemas.openxmlformats.org/officeDocument/2006/relationships/hyperlink" Target="https://journals.plos.org/plosone/article?id=10.1371/journal.pone.0293948" TargetMode="External"/><Relationship Id="rId25" Type="http://schemas.openxmlformats.org/officeDocument/2006/relationships/hyperlink" Target="https://doi.org/10.3389/fpubh.2023.1228304" TargetMode="External"/><Relationship Id="rId2" Type="http://schemas.openxmlformats.org/officeDocument/2006/relationships/hyperlink" Target="https://pubmed.ncbi.nlm.nih.gov/37302442/" TargetMode="External"/><Relationship Id="rId16" Type="http://schemas.openxmlformats.org/officeDocument/2006/relationships/hyperlink" Target="https://www.ncbi.nlm.nih.gov/pmc/articles/PMC10578190/pdf/KGMI_15_2263936.pdf" TargetMode="External"/><Relationship Id="rId20" Type="http://schemas.openxmlformats.org/officeDocument/2006/relationships/hyperlink" Target="https://doi.org/10.3390/ijms24087238" TargetMode="External"/><Relationship Id="rId29" Type="http://schemas.openxmlformats.org/officeDocument/2006/relationships/hyperlink" Target="https://doi.org/10.1371/journal.pone.0293948" TargetMode="External"/><Relationship Id="rId1" Type="http://schemas.openxmlformats.org/officeDocument/2006/relationships/hyperlink" Target="https://pubmed.ncbi.nlm.nih.gov/36844174/" TargetMode="External"/><Relationship Id="rId6" Type="http://schemas.openxmlformats.org/officeDocument/2006/relationships/hyperlink" Target="https://academic.oup.com/cid/article/77/Supplement_1/S75/7219528" TargetMode="External"/><Relationship Id="rId11" Type="http://schemas.openxmlformats.org/officeDocument/2006/relationships/hyperlink" Target="https://biolres.biomedcentral.com/articles/10.1186/s40659-023-00476-9" TargetMode="External"/><Relationship Id="rId24" Type="http://schemas.openxmlformats.org/officeDocument/2006/relationships/hyperlink" Target="https://doi.org/10.3390/vaccines11071193" TargetMode="External"/><Relationship Id="rId5" Type="http://schemas.openxmlformats.org/officeDocument/2006/relationships/hyperlink" Target="https://pubmed.ncbi.nlm.nih.gov/37515009/" TargetMode="External"/><Relationship Id="rId15" Type="http://schemas.openxmlformats.org/officeDocument/2006/relationships/hyperlink" Target="https://preprints.jmir.org/preprint/45968/accepted" TargetMode="External"/><Relationship Id="rId23" Type="http://schemas.openxmlformats.org/officeDocument/2006/relationships/hyperlink" Target="https://doi.org/10.1080/19490976.2023.2263936" TargetMode="External"/><Relationship Id="rId28" Type="http://schemas.openxmlformats.org/officeDocument/2006/relationships/hyperlink" Target="https://doi.org/10.1109/ACCESS.2023.3327058" TargetMode="External"/><Relationship Id="rId10" Type="http://schemas.openxmlformats.org/officeDocument/2006/relationships/hyperlink" Target="https://www.frontiersin.org/articles/10.3389/fpubh.2023.1228304/full" TargetMode="External"/><Relationship Id="rId19" Type="http://schemas.openxmlformats.org/officeDocument/2006/relationships/hyperlink" Target="https://doi.org/10.3390/ijms24076294" TargetMode="External"/><Relationship Id="rId31" Type="http://schemas.openxmlformats.org/officeDocument/2006/relationships/printerSettings" Target="../printerSettings/printerSettings6.bin"/><Relationship Id="rId4" Type="http://schemas.openxmlformats.org/officeDocument/2006/relationships/hyperlink" Target="https://pubmed.ncbi.nlm.nih.gov/37840576/" TargetMode="External"/><Relationship Id="rId9" Type="http://schemas.openxmlformats.org/officeDocument/2006/relationships/hyperlink" Target="https://equityhealthj.biomedcentral.com/articles/10.1186/s12939-023-01972-w" TargetMode="External"/><Relationship Id="rId14" Type="http://schemas.openxmlformats.org/officeDocument/2006/relationships/hyperlink" Target="https://ieeexplore.ieee.org/document/10292626" TargetMode="External"/><Relationship Id="rId22" Type="http://schemas.openxmlformats.org/officeDocument/2006/relationships/hyperlink" Target="https://doi.org/10.3390/cancers15041156" TargetMode="External"/><Relationship Id="rId27" Type="http://schemas.openxmlformats.org/officeDocument/2006/relationships/hyperlink" Target="https://doi.org/10.2196/45968" TargetMode="External"/><Relationship Id="rId30" Type="http://schemas.openxmlformats.org/officeDocument/2006/relationships/hyperlink" Target="https://doi.org/10.1186/s40659-023-00476-9"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oi.org/10.1007/978-3-031-75144-8_5" TargetMode="External"/><Relationship Id="rId2" Type="http://schemas.openxmlformats.org/officeDocument/2006/relationships/hyperlink" Target="https://revistagastroperu.com/index.php/rgp/article/view/1624" TargetMode="External"/><Relationship Id="rId1" Type="http://schemas.openxmlformats.org/officeDocument/2006/relationships/hyperlink" Target="https://doi.org/10.47892/rgp.2024.441.1624" TargetMode="External"/><Relationship Id="rId6" Type="http://schemas.openxmlformats.org/officeDocument/2006/relationships/printerSettings" Target="../printerSettings/printerSettings7.bin"/><Relationship Id="rId5" Type="http://schemas.openxmlformats.org/officeDocument/2006/relationships/hyperlink" Target="https://doi.org/10.1200/EDBK-25-473618" TargetMode="External"/><Relationship Id="rId4" Type="http://schemas.openxmlformats.org/officeDocument/2006/relationships/hyperlink" Target="https://doi.org/10.1371/journal.pgph.0001322"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politicaspublicas.uc.cl/content/uploads/2023/04/Propuestas-para-Chile-2022-CAPITULO-2.pdf"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doi.org/10.3390/ijms25126740" TargetMode="External"/><Relationship Id="rId18" Type="http://schemas.openxmlformats.org/officeDocument/2006/relationships/hyperlink" Target="https://doi.org/10.3390/pharmaceutics16040561" TargetMode="External"/><Relationship Id="rId26" Type="http://schemas.openxmlformats.org/officeDocument/2006/relationships/hyperlink" Target="http://dx.doi.org/10.2471/BLT.24.291783" TargetMode="External"/><Relationship Id="rId3" Type="http://schemas.openxmlformats.org/officeDocument/2006/relationships/hyperlink" Target="https://doi.org/10.3389/fpubh.2023.1302640" TargetMode="External"/><Relationship Id="rId21" Type="http://schemas.openxmlformats.org/officeDocument/2006/relationships/hyperlink" Target="http://doi.org/10.5867/medwave.2024.09.2801" TargetMode="External"/><Relationship Id="rId34" Type="http://schemas.openxmlformats.org/officeDocument/2006/relationships/hyperlink" Target="https://doi.org/10.1007/978-3-031-75144-8_5" TargetMode="External"/><Relationship Id="rId7" Type="http://schemas.openxmlformats.org/officeDocument/2006/relationships/hyperlink" Target="https://doi.org/10.1038/s41598-024-58920-z" TargetMode="External"/><Relationship Id="rId12" Type="http://schemas.openxmlformats.org/officeDocument/2006/relationships/hyperlink" Target="https://doi.org/10.1002/ueg2.12605" TargetMode="External"/><Relationship Id="rId17" Type="http://schemas.openxmlformats.org/officeDocument/2006/relationships/hyperlink" Target="https://doi.org/10.3389/fphar.2024.1376638" TargetMode="External"/><Relationship Id="rId25" Type="http://schemas.openxmlformats.org/officeDocument/2006/relationships/hyperlink" Target="https://doi.org/10.1002/ijc.35138" TargetMode="External"/><Relationship Id="rId33" Type="http://schemas.openxmlformats.org/officeDocument/2006/relationships/hyperlink" Target="https://doi.org/10.7704/kjhugr.2024.0017" TargetMode="External"/><Relationship Id="rId2" Type="http://schemas.openxmlformats.org/officeDocument/2006/relationships/hyperlink" Target="https://doi.org/10.3390/diagnostics14060619" TargetMode="External"/><Relationship Id="rId16" Type="http://schemas.openxmlformats.org/officeDocument/2006/relationships/hyperlink" Target="https://doi.org/10.3390/biomedicines12040728" TargetMode="External"/><Relationship Id="rId20" Type="http://schemas.openxmlformats.org/officeDocument/2006/relationships/hyperlink" Target="https://doi.org/10.1080/19490976.2024.2379440" TargetMode="External"/><Relationship Id="rId29" Type="http://schemas.openxmlformats.org/officeDocument/2006/relationships/hyperlink" Target="https://doi.org/10.1016/j.arcmed.2024.103105" TargetMode="External"/><Relationship Id="rId1" Type="http://schemas.openxmlformats.org/officeDocument/2006/relationships/hyperlink" Target="https://doi.org/10.3390/mps7020024" TargetMode="External"/><Relationship Id="rId6" Type="http://schemas.openxmlformats.org/officeDocument/2006/relationships/hyperlink" Target="https://doi.org/10.3390/ijms25094695" TargetMode="External"/><Relationship Id="rId11" Type="http://schemas.openxmlformats.org/officeDocument/2006/relationships/hyperlink" Target="https://doi.org/10.1136/gutjnl-2023-331059" TargetMode="External"/><Relationship Id="rId24" Type="http://schemas.openxmlformats.org/officeDocument/2006/relationships/hyperlink" Target="https://doi.org/10.2144/fsoa-2023-0032" TargetMode="External"/><Relationship Id="rId32" Type="http://schemas.openxmlformats.org/officeDocument/2006/relationships/hyperlink" Target="https://doi.org/10.47892/rgp.2024.441.1624" TargetMode="External"/><Relationship Id="rId5" Type="http://schemas.openxmlformats.org/officeDocument/2006/relationships/hyperlink" Target="https://doi.org/10.3389/fonc.2024.1356014" TargetMode="External"/><Relationship Id="rId15" Type="http://schemas.openxmlformats.org/officeDocument/2006/relationships/hyperlink" Target="https://doi.org/10.1080/23288604.2024.2314482" TargetMode="External"/><Relationship Id="rId23" Type="http://schemas.openxmlformats.org/officeDocument/2006/relationships/hyperlink" Target="https://doi.org/10.3390/cancers16010080" TargetMode="External"/><Relationship Id="rId28" Type="http://schemas.openxmlformats.org/officeDocument/2006/relationships/hyperlink" Target="https://doi.org/10.1080/13669877.2024.2387355" TargetMode="External"/><Relationship Id="rId36" Type="http://schemas.openxmlformats.org/officeDocument/2006/relationships/printerSettings" Target="../printerSettings/printerSettings9.bin"/><Relationship Id="rId10" Type="http://schemas.openxmlformats.org/officeDocument/2006/relationships/hyperlink" Target="https://doi.org/10.3390/ijms25063332" TargetMode="External"/><Relationship Id="rId19" Type="http://schemas.openxmlformats.org/officeDocument/2006/relationships/hyperlink" Target="https://doi.org/10.1200/GO.24.00090" TargetMode="External"/><Relationship Id="rId31" Type="http://schemas.openxmlformats.org/officeDocument/2006/relationships/hyperlink" Target="https://doi.org/10.1186/s12885-024-12737-1" TargetMode="External"/><Relationship Id="rId4" Type="http://schemas.openxmlformats.org/officeDocument/2006/relationships/hyperlink" Target="http://doi.org/10.5867/medwave.2024.01.2771" TargetMode="External"/><Relationship Id="rId9" Type="http://schemas.openxmlformats.org/officeDocument/2006/relationships/hyperlink" Target="https://doi.org/10.1016/j.gastrohep.2024.01.008" TargetMode="External"/><Relationship Id="rId14" Type="http://schemas.openxmlformats.org/officeDocument/2006/relationships/hyperlink" Target="https://doi.org/10.1186/s13023-024-03249-z" TargetMode="External"/><Relationship Id="rId22" Type="http://schemas.openxmlformats.org/officeDocument/2006/relationships/hyperlink" Target="https://doi.org/10.1016/j.puhe.2024.08.006" TargetMode="External"/><Relationship Id="rId27" Type="http://schemas.openxmlformats.org/officeDocument/2006/relationships/hyperlink" Target="http://dx.doi.org/10.4067/s0034-98872024000100007" TargetMode="External"/><Relationship Id="rId30" Type="http://schemas.openxmlformats.org/officeDocument/2006/relationships/hyperlink" Target="https://doi.org/10.1016/j.jpainsymman.2024.03.027" TargetMode="External"/><Relationship Id="rId35" Type="http://schemas.openxmlformats.org/officeDocument/2006/relationships/hyperlink" Target="https://doi.org/10.1371/journal.pgph.0001322" TargetMode="External"/><Relationship Id="rId8" Type="http://schemas.openxmlformats.org/officeDocument/2006/relationships/hyperlink" Target="https://doi.org/10.1016/j.jcpo.2024.100470"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39B67-04A9-4E71-AF66-7B7E0F9F6089}">
  <dimension ref="A2:O54"/>
  <sheetViews>
    <sheetView showGridLines="0" topLeftCell="A25" workbookViewId="0">
      <selection activeCell="C41" sqref="C41"/>
    </sheetView>
  </sheetViews>
  <sheetFormatPr baseColWidth="10" defaultColWidth="11.5" defaultRowHeight="15" x14ac:dyDescent="0.2"/>
  <cols>
    <col min="1" max="1" width="5.6640625" customWidth="1"/>
    <col min="2" max="2" width="19.83203125" customWidth="1"/>
    <col min="3" max="3" width="13.6640625" customWidth="1"/>
    <col min="4" max="4" width="17.5" customWidth="1"/>
    <col min="5" max="5" width="13.5" customWidth="1"/>
    <col min="6" max="7" width="8.33203125" customWidth="1"/>
    <col min="8" max="8" width="33.83203125" customWidth="1"/>
    <col min="9" max="9" width="13.6640625" customWidth="1"/>
    <col min="10" max="10" width="17.5" customWidth="1"/>
    <col min="11" max="11" width="13.5" customWidth="1"/>
    <col min="12" max="12" width="19.83203125" customWidth="1"/>
    <col min="13" max="13" width="13.6640625" customWidth="1"/>
    <col min="14" max="14" width="17.5" customWidth="1"/>
    <col min="15" max="15" width="13.5" customWidth="1"/>
    <col min="17" max="17" width="9.6640625" customWidth="1"/>
    <col min="18" max="18" width="16.6640625" customWidth="1"/>
    <col min="19" max="19" width="7.6640625" customWidth="1"/>
    <col min="20" max="20" width="16.6640625" customWidth="1"/>
    <col min="21" max="21" width="7.6640625" customWidth="1"/>
    <col min="22" max="22" width="14.1640625" customWidth="1"/>
  </cols>
  <sheetData>
    <row r="2" spans="2:15" x14ac:dyDescent="0.2">
      <c r="L2" s="9"/>
    </row>
    <row r="3" spans="2:15" x14ac:dyDescent="0.2">
      <c r="B3" s="422" t="s">
        <v>0</v>
      </c>
      <c r="C3" s="422"/>
      <c r="D3" s="107"/>
      <c r="E3" s="107"/>
      <c r="F3" s="107"/>
      <c r="G3" s="107"/>
      <c r="H3" s="422" t="s">
        <v>840</v>
      </c>
      <c r="I3" s="422"/>
      <c r="J3" s="107"/>
      <c r="K3" s="107"/>
      <c r="L3" s="421"/>
      <c r="M3" s="421"/>
      <c r="N3" s="421"/>
      <c r="O3" s="421"/>
    </row>
    <row r="4" spans="2:15" ht="16" thickBot="1" x14ac:dyDescent="0.25">
      <c r="B4" s="61"/>
      <c r="C4" s="61"/>
      <c r="H4" s="1" t="s">
        <v>836</v>
      </c>
      <c r="I4" s="285">
        <f>C8</f>
        <v>21306291</v>
      </c>
    </row>
    <row r="5" spans="2:15" ht="16" thickBot="1" x14ac:dyDescent="0.25">
      <c r="B5" s="102" t="s">
        <v>0</v>
      </c>
      <c r="C5" s="103">
        <v>21306291</v>
      </c>
      <c r="H5" s="1" t="s">
        <v>837</v>
      </c>
      <c r="I5" s="285">
        <f>C18</f>
        <v>20363281</v>
      </c>
      <c r="L5" s="281"/>
      <c r="M5" s="176"/>
      <c r="N5" s="281"/>
      <c r="O5" s="176"/>
    </row>
    <row r="6" spans="2:15" x14ac:dyDescent="0.2">
      <c r="B6" s="423" t="s">
        <v>3</v>
      </c>
      <c r="C6" s="424"/>
      <c r="H6" s="1" t="s">
        <v>838</v>
      </c>
      <c r="I6" s="285">
        <f>I46</f>
        <v>38576153</v>
      </c>
      <c r="J6" s="130" t="s">
        <v>1113</v>
      </c>
      <c r="L6" s="282"/>
      <c r="M6" s="61"/>
      <c r="N6" s="282"/>
      <c r="O6" s="61"/>
    </row>
    <row r="7" spans="2:15" ht="17" thickBot="1" x14ac:dyDescent="0.25">
      <c r="B7" s="108" t="s">
        <v>4</v>
      </c>
      <c r="C7" s="109">
        <v>21306291</v>
      </c>
      <c r="H7" s="1"/>
      <c r="I7" s="285"/>
      <c r="L7" s="56"/>
      <c r="M7" s="177"/>
      <c r="N7" s="56"/>
      <c r="O7" s="177"/>
    </row>
    <row r="8" spans="2:15" ht="17" thickBot="1" x14ac:dyDescent="0.25">
      <c r="B8" s="271" t="s">
        <v>830</v>
      </c>
      <c r="C8" s="105">
        <v>21306291</v>
      </c>
      <c r="H8" s="1"/>
      <c r="I8" s="285"/>
      <c r="L8" s="56"/>
      <c r="M8" s="177"/>
      <c r="N8" s="56"/>
      <c r="O8" s="177"/>
    </row>
    <row r="9" spans="2:15" ht="17" thickBot="1" x14ac:dyDescent="0.25">
      <c r="B9" s="104" t="s">
        <v>6</v>
      </c>
      <c r="C9" s="272">
        <f>C5-C8</f>
        <v>0</v>
      </c>
      <c r="H9" s="286" t="s">
        <v>839</v>
      </c>
      <c r="I9" s="287">
        <f>SUM(I4:I6)</f>
        <v>80245725</v>
      </c>
      <c r="L9" s="56"/>
      <c r="M9" s="177"/>
      <c r="N9" s="56"/>
      <c r="O9" s="177"/>
    </row>
    <row r="10" spans="2:15" x14ac:dyDescent="0.2">
      <c r="L10" s="283"/>
      <c r="M10" s="284"/>
      <c r="N10" s="283"/>
      <c r="O10" s="284"/>
    </row>
    <row r="12" spans="2:15" x14ac:dyDescent="0.2">
      <c r="B12" s="9" t="s">
        <v>826</v>
      </c>
    </row>
    <row r="13" spans="2:15" x14ac:dyDescent="0.2">
      <c r="B13" s="422" t="s">
        <v>1</v>
      </c>
      <c r="C13" s="422"/>
      <c r="D13" s="422"/>
      <c r="E13" s="422"/>
    </row>
    <row r="14" spans="2:15" ht="16" thickBot="1" x14ac:dyDescent="0.25"/>
    <row r="15" spans="2:15" ht="20" customHeight="1" x14ac:dyDescent="0.2">
      <c r="B15" s="279" t="s">
        <v>831</v>
      </c>
      <c r="C15" s="276">
        <v>36000000</v>
      </c>
      <c r="D15" s="274" t="s">
        <v>2</v>
      </c>
      <c r="E15" s="273">
        <v>0</v>
      </c>
    </row>
    <row r="16" spans="2:15" ht="20" customHeight="1" thickBot="1" x14ac:dyDescent="0.25">
      <c r="B16" s="280" t="s">
        <v>832</v>
      </c>
      <c r="C16" s="277">
        <v>40385822</v>
      </c>
      <c r="D16" s="275"/>
      <c r="E16" s="278"/>
    </row>
    <row r="17" spans="2:6" x14ac:dyDescent="0.2">
      <c r="B17" s="425" t="s">
        <v>827</v>
      </c>
      <c r="C17" s="426"/>
      <c r="D17" s="267"/>
      <c r="E17" s="268"/>
    </row>
    <row r="18" spans="2:6" ht="32" x14ac:dyDescent="0.2">
      <c r="B18" s="265" t="s">
        <v>5</v>
      </c>
      <c r="C18" s="64">
        <v>20363281</v>
      </c>
      <c r="D18" s="17"/>
      <c r="E18" s="266"/>
    </row>
    <row r="19" spans="2:6" ht="14.5" customHeight="1" x14ac:dyDescent="0.2">
      <c r="B19" s="427" t="s">
        <v>828</v>
      </c>
      <c r="C19" s="427"/>
      <c r="D19" s="269"/>
      <c r="E19" s="270"/>
    </row>
    <row r="20" spans="2:6" ht="33" thickBot="1" x14ac:dyDescent="0.25">
      <c r="B20" s="265" t="s">
        <v>1017</v>
      </c>
      <c r="C20" s="256">
        <v>20022541</v>
      </c>
      <c r="D20" s="255"/>
      <c r="E20" s="256"/>
    </row>
    <row r="21" spans="2:6" ht="17" thickBot="1" x14ac:dyDescent="0.25">
      <c r="B21" s="271" t="s">
        <v>830</v>
      </c>
      <c r="C21" s="105">
        <f>C18+C20</f>
        <v>40385822</v>
      </c>
      <c r="D21" s="104"/>
      <c r="E21" s="105">
        <f>E14-E17</f>
        <v>0</v>
      </c>
    </row>
    <row r="22" spans="2:6" ht="17" thickBot="1" x14ac:dyDescent="0.25">
      <c r="B22" s="271" t="s">
        <v>6</v>
      </c>
      <c r="C22" s="105">
        <f>C16-C21</f>
        <v>0</v>
      </c>
      <c r="D22" s="104"/>
      <c r="E22" s="105">
        <f>E15-E18</f>
        <v>0</v>
      </c>
    </row>
    <row r="24" spans="2:6" x14ac:dyDescent="0.2">
      <c r="C24" s="36"/>
    </row>
    <row r="25" spans="2:6" x14ac:dyDescent="0.2">
      <c r="B25" s="9" t="s">
        <v>1113</v>
      </c>
    </row>
    <row r="26" spans="2:6" x14ac:dyDescent="0.2">
      <c r="B26" s="422" t="s">
        <v>833</v>
      </c>
      <c r="C26" s="422"/>
      <c r="D26" s="422"/>
      <c r="E26" s="422"/>
    </row>
    <row r="27" spans="2:6" ht="16" thickBot="1" x14ac:dyDescent="0.25"/>
    <row r="28" spans="2:6" x14ac:dyDescent="0.2">
      <c r="B28" s="279" t="s">
        <v>831</v>
      </c>
      <c r="C28" s="276">
        <v>30000000</v>
      </c>
      <c r="D28" s="274" t="s">
        <v>2</v>
      </c>
      <c r="E28" s="273">
        <v>0</v>
      </c>
    </row>
    <row r="29" spans="2:6" ht="16" thickBot="1" x14ac:dyDescent="0.25">
      <c r="B29" s="280" t="s">
        <v>832</v>
      </c>
      <c r="C29" s="277">
        <v>22000000</v>
      </c>
      <c r="D29" s="275"/>
      <c r="E29" s="278"/>
      <c r="F29" t="s">
        <v>835</v>
      </c>
    </row>
    <row r="30" spans="2:6" x14ac:dyDescent="0.2">
      <c r="B30" s="425" t="s">
        <v>1114</v>
      </c>
      <c r="C30" s="426"/>
      <c r="D30" s="267"/>
      <c r="E30" s="268"/>
    </row>
    <row r="31" spans="2:6" ht="32" x14ac:dyDescent="0.2">
      <c r="B31" s="265" t="s">
        <v>1202</v>
      </c>
      <c r="C31" s="64">
        <f>' Publicaciones año 3'!Z91</f>
        <v>18553612</v>
      </c>
      <c r="D31" s="17"/>
      <c r="E31" s="266"/>
    </row>
    <row r="32" spans="2:6" x14ac:dyDescent="0.2">
      <c r="B32" s="427"/>
      <c r="C32" s="427"/>
      <c r="D32" s="269"/>
      <c r="E32" s="270"/>
    </row>
    <row r="33" spans="1:11" ht="33" thickBot="1" x14ac:dyDescent="0.25">
      <c r="B33" s="265" t="s">
        <v>834</v>
      </c>
      <c r="C33" s="256"/>
      <c r="D33" s="255"/>
      <c r="E33" s="256"/>
    </row>
    <row r="34" spans="1:11" ht="17" thickBot="1" x14ac:dyDescent="0.25">
      <c r="B34" s="271" t="s">
        <v>830</v>
      </c>
      <c r="C34" s="105">
        <f>C31+C33</f>
        <v>18553612</v>
      </c>
      <c r="D34" s="104" t="s">
        <v>6</v>
      </c>
      <c r="E34" s="105">
        <f>E27-E30</f>
        <v>0</v>
      </c>
    </row>
    <row r="35" spans="1:11" ht="17" thickBot="1" x14ac:dyDescent="0.25">
      <c r="B35" s="271" t="s">
        <v>6</v>
      </c>
      <c r="C35" s="105">
        <f>C29-C34</f>
        <v>3446388</v>
      </c>
      <c r="D35" s="104"/>
      <c r="E35" s="105">
        <f>E28-E31</f>
        <v>0</v>
      </c>
    </row>
    <row r="37" spans="1:11" x14ac:dyDescent="0.2">
      <c r="A37" s="323"/>
      <c r="H37" t="s">
        <v>1121</v>
      </c>
    </row>
    <row r="39" spans="1:11" x14ac:dyDescent="0.2">
      <c r="B39" s="421"/>
      <c r="C39" s="421"/>
      <c r="D39" s="421"/>
      <c r="E39" s="421"/>
      <c r="H39" s="422" t="s">
        <v>1012</v>
      </c>
      <c r="I39" s="422"/>
      <c r="J39" s="422"/>
      <c r="K39" s="422"/>
    </row>
    <row r="40" spans="1:11" ht="16" thickBot="1" x14ac:dyDescent="0.25"/>
    <row r="41" spans="1:11" ht="16" thickBot="1" x14ac:dyDescent="0.25">
      <c r="B41" s="19"/>
      <c r="C41" s="19"/>
      <c r="H41" s="416" t="s">
        <v>1122</v>
      </c>
      <c r="I41" s="417"/>
      <c r="J41" s="417"/>
      <c r="K41" s="418"/>
    </row>
    <row r="42" spans="1:11" ht="16" thickBot="1" x14ac:dyDescent="0.25">
      <c r="B42" s="19"/>
      <c r="C42" s="19"/>
      <c r="H42" s="419" t="s">
        <v>1010</v>
      </c>
      <c r="I42" s="420"/>
      <c r="J42" s="419" t="s">
        <v>2</v>
      </c>
      <c r="K42" s="420"/>
    </row>
    <row r="43" spans="1:11" x14ac:dyDescent="0.2">
      <c r="B43" s="19"/>
      <c r="C43" s="19"/>
      <c r="H43" s="297"/>
      <c r="I43" s="324" t="s">
        <v>1011</v>
      </c>
      <c r="J43" s="297"/>
      <c r="K43" s="324"/>
    </row>
    <row r="44" spans="1:11" x14ac:dyDescent="0.2">
      <c r="B44" s="322"/>
      <c r="C44" s="176"/>
      <c r="D44" s="281"/>
      <c r="E44" s="176"/>
      <c r="G44" s="322"/>
      <c r="H44" s="325" t="s">
        <v>1013</v>
      </c>
      <c r="I44" s="326">
        <f>C20</f>
        <v>20022541</v>
      </c>
      <c r="J44" s="333"/>
      <c r="K44" s="334">
        <v>0</v>
      </c>
    </row>
    <row r="45" spans="1:11" x14ac:dyDescent="0.2">
      <c r="B45" s="322"/>
      <c r="C45" s="176"/>
      <c r="D45" s="281"/>
      <c r="E45" s="176"/>
      <c r="H45" s="325" t="s">
        <v>1123</v>
      </c>
      <c r="I45" s="326">
        <f>C31</f>
        <v>18553612</v>
      </c>
      <c r="J45" s="333"/>
      <c r="K45" s="334"/>
    </row>
    <row r="46" spans="1:11" ht="16" x14ac:dyDescent="0.2">
      <c r="B46" s="283"/>
      <c r="C46" s="284"/>
      <c r="D46" s="283"/>
      <c r="E46" s="284"/>
      <c r="H46" s="327" t="s">
        <v>830</v>
      </c>
      <c r="I46" s="328">
        <f>SUM(I44:I45)</f>
        <v>38576153</v>
      </c>
      <c r="J46" s="327"/>
      <c r="K46" s="328"/>
    </row>
    <row r="47" spans="1:11" x14ac:dyDescent="0.2">
      <c r="B47" s="283"/>
      <c r="C47" s="284"/>
      <c r="D47" s="283"/>
      <c r="E47" s="284"/>
      <c r="H47" s="329"/>
      <c r="I47" s="330"/>
      <c r="J47" s="329"/>
      <c r="K47" s="330"/>
    </row>
    <row r="48" spans="1:11" ht="17" thickBot="1" x14ac:dyDescent="0.25">
      <c r="B48" s="283"/>
      <c r="C48" s="284"/>
      <c r="D48" s="283"/>
      <c r="E48" s="284"/>
      <c r="H48" s="336" t="s">
        <v>1014</v>
      </c>
      <c r="I48" s="337">
        <v>20000000</v>
      </c>
      <c r="J48" s="336"/>
      <c r="K48" s="337"/>
    </row>
    <row r="49" spans="8:11" ht="22" customHeight="1" thickBot="1" x14ac:dyDescent="0.25">
      <c r="H49" s="340" t="s">
        <v>1124</v>
      </c>
      <c r="I49" s="341">
        <f>C31</f>
        <v>18553612</v>
      </c>
      <c r="J49" s="340"/>
      <c r="K49" s="342"/>
    </row>
    <row r="50" spans="8:11" ht="17" thickBot="1" x14ac:dyDescent="0.25">
      <c r="H50" s="338" t="s">
        <v>1015</v>
      </c>
      <c r="I50" s="339">
        <f>I48-I49</f>
        <v>1446388</v>
      </c>
      <c r="J50" s="331"/>
      <c r="K50" s="332"/>
    </row>
    <row r="52" spans="8:11" x14ac:dyDescent="0.2">
      <c r="H52" t="s">
        <v>1016</v>
      </c>
    </row>
    <row r="53" spans="8:11" x14ac:dyDescent="0.2">
      <c r="H53" t="s">
        <v>1200</v>
      </c>
      <c r="I53" s="335"/>
    </row>
    <row r="54" spans="8:11" x14ac:dyDescent="0.2">
      <c r="I54" s="335"/>
    </row>
  </sheetData>
  <mergeCells count="15">
    <mergeCell ref="L3:O3"/>
    <mergeCell ref="B6:C6"/>
    <mergeCell ref="B26:E26"/>
    <mergeCell ref="B30:C30"/>
    <mergeCell ref="B32:C32"/>
    <mergeCell ref="H3:I3"/>
    <mergeCell ref="B13:E13"/>
    <mergeCell ref="B19:C19"/>
    <mergeCell ref="B17:C17"/>
    <mergeCell ref="B3:C3"/>
    <mergeCell ref="H41:K41"/>
    <mergeCell ref="H42:I42"/>
    <mergeCell ref="J42:K42"/>
    <mergeCell ref="B39:E39"/>
    <mergeCell ref="H39:K39"/>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B3479-DBF8-4C01-ABFE-17B4BAA2217B}">
  <dimension ref="B3:J35"/>
  <sheetViews>
    <sheetView showGridLines="0" workbookViewId="0">
      <selection activeCell="G13" sqref="G13"/>
    </sheetView>
  </sheetViews>
  <sheetFormatPr baseColWidth="10" defaultColWidth="11.5" defaultRowHeight="15" x14ac:dyDescent="0.2"/>
  <cols>
    <col min="1" max="1" width="6.83203125" customWidth="1"/>
    <col min="2" max="2" width="11.33203125" customWidth="1"/>
    <col min="3" max="3" width="16.1640625" customWidth="1"/>
    <col min="4" max="5" width="6.6640625" customWidth="1"/>
    <col min="6" max="6" width="9.83203125" bestFit="1" customWidth="1"/>
    <col min="7" max="7" width="9.83203125" customWidth="1"/>
    <col min="8" max="8" width="16.83203125" customWidth="1"/>
    <col min="9" max="9" width="16.6640625" customWidth="1"/>
    <col min="10" max="10" width="16.1640625" customWidth="1"/>
  </cols>
  <sheetData>
    <row r="3" spans="2:10" ht="16" thickBot="1" x14ac:dyDescent="0.25"/>
    <row r="4" spans="2:10" ht="16" thickBot="1" x14ac:dyDescent="0.25">
      <c r="B4" s="428" t="s">
        <v>19</v>
      </c>
      <c r="C4" s="429"/>
      <c r="D4" s="429"/>
      <c r="E4" s="429"/>
      <c r="F4" s="429"/>
      <c r="G4" s="429"/>
      <c r="H4" s="429"/>
      <c r="I4" s="429"/>
      <c r="J4" s="107"/>
    </row>
    <row r="5" spans="2:10" ht="16" thickBot="1" x14ac:dyDescent="0.25"/>
    <row r="6" spans="2:10" ht="29.5" customHeight="1" thickBot="1" x14ac:dyDescent="0.25">
      <c r="B6" s="430" t="s">
        <v>20</v>
      </c>
      <c r="C6" s="431"/>
      <c r="D6" s="242" t="s">
        <v>9</v>
      </c>
      <c r="E6" s="242" t="s">
        <v>1143</v>
      </c>
      <c r="F6" s="242" t="s">
        <v>1125</v>
      </c>
      <c r="G6" s="242" t="s">
        <v>1136</v>
      </c>
      <c r="H6" s="242" t="s">
        <v>1126</v>
      </c>
      <c r="I6" s="242" t="s">
        <v>1127</v>
      </c>
      <c r="J6" s="241"/>
    </row>
    <row r="7" spans="2:10" x14ac:dyDescent="0.2">
      <c r="B7" s="131">
        <v>2023</v>
      </c>
      <c r="C7" s="132" t="s">
        <v>21</v>
      </c>
      <c r="D7" s="395">
        <f>COUNTIFS(' Publicaciones año 1'!$F$8:$F$25,"Q1")</f>
        <v>9</v>
      </c>
      <c r="E7" s="390">
        <f>D7/17</f>
        <v>0.52941176470588236</v>
      </c>
      <c r="F7" s="133">
        <v>4.3</v>
      </c>
      <c r="G7" s="133">
        <v>6</v>
      </c>
      <c r="H7" s="134">
        <f>' Publicaciones año 1'!Q25</f>
        <v>9</v>
      </c>
      <c r="I7" s="381">
        <f>' Publicaciones año 1'!S25</f>
        <v>13</v>
      </c>
      <c r="J7" s="384"/>
    </row>
    <row r="8" spans="2:10" ht="16" x14ac:dyDescent="0.2">
      <c r="B8" s="297">
        <v>2024</v>
      </c>
      <c r="C8" s="298" t="s">
        <v>733</v>
      </c>
      <c r="D8" s="396">
        <f>COUNTIFS(' Publicaciones año 2'!$F$7:$F$38,"Q1")</f>
        <v>17</v>
      </c>
      <c r="E8" s="391">
        <f>D8/31</f>
        <v>0.54838709677419351</v>
      </c>
      <c r="F8" s="393">
        <v>4.8</v>
      </c>
      <c r="G8" s="406">
        <v>11</v>
      </c>
      <c r="H8" s="299">
        <f>' Publicaciones año 2'!O38</f>
        <v>16</v>
      </c>
      <c r="I8" s="398">
        <f>' Publicaciones año 2'!Q38</f>
        <v>19</v>
      </c>
      <c r="J8" s="384"/>
    </row>
    <row r="9" spans="2:10" ht="17" thickBot="1" x14ac:dyDescent="0.25">
      <c r="B9" s="295">
        <v>2025</v>
      </c>
      <c r="C9" s="412" t="s">
        <v>1238</v>
      </c>
      <c r="D9" s="397">
        <f>COUNTIFS(' Publicaciones año 3'!$G$8:$G$182,"Q1")</f>
        <v>27</v>
      </c>
      <c r="E9" s="392">
        <f>D9/48</f>
        <v>0.5625</v>
      </c>
      <c r="F9" s="394">
        <f>' Publicaciones año 3'!H89</f>
        <v>4.8359375</v>
      </c>
      <c r="G9" s="407">
        <f>' Publicaciones año 3'!I89</f>
        <v>13</v>
      </c>
      <c r="H9" s="296">
        <f>' Publicaciones año 3'!L90</f>
        <v>38</v>
      </c>
      <c r="I9" s="399">
        <f>' Publicaciones año 3'!N90</f>
        <v>44</v>
      </c>
      <c r="J9" s="405" t="s">
        <v>1240</v>
      </c>
    </row>
    <row r="10" spans="2:10" x14ac:dyDescent="0.2">
      <c r="D10" s="130"/>
      <c r="E10" s="130"/>
      <c r="F10" s="130"/>
      <c r="G10" s="130"/>
    </row>
    <row r="14" spans="2:10" x14ac:dyDescent="0.2">
      <c r="B14" s="379"/>
      <c r="C14" s="421"/>
      <c r="D14" s="421"/>
      <c r="E14" s="379"/>
      <c r="F14" s="379"/>
      <c r="G14" s="379"/>
      <c r="H14" s="421"/>
      <c r="I14" s="421"/>
      <c r="J14" s="421"/>
    </row>
    <row r="15" spans="2:10" x14ac:dyDescent="0.2">
      <c r="B15" s="4"/>
      <c r="H15" s="4"/>
      <c r="I15" s="4"/>
      <c r="J15" s="4"/>
    </row>
    <row r="16" spans="2:10" x14ac:dyDescent="0.2">
      <c r="B16" s="388"/>
      <c r="H16" s="241"/>
      <c r="I16" s="241"/>
      <c r="J16" s="20"/>
    </row>
    <row r="17" spans="2:10" x14ac:dyDescent="0.2">
      <c r="B17" s="388"/>
      <c r="H17" s="241"/>
      <c r="I17" s="241"/>
      <c r="J17" s="20"/>
    </row>
    <row r="18" spans="2:10" x14ac:dyDescent="0.2">
      <c r="B18" s="388"/>
      <c r="H18" s="241"/>
      <c r="I18" s="241"/>
      <c r="J18" s="20"/>
    </row>
    <row r="19" spans="2:10" x14ac:dyDescent="0.2">
      <c r="B19" s="388"/>
      <c r="H19" s="241"/>
      <c r="I19" s="241"/>
      <c r="J19" s="20"/>
    </row>
    <row r="20" spans="2:10" x14ac:dyDescent="0.2">
      <c r="B20" s="388"/>
      <c r="H20" s="241"/>
      <c r="I20" s="241"/>
      <c r="J20" s="20"/>
    </row>
    <row r="21" spans="2:10" x14ac:dyDescent="0.2">
      <c r="B21" s="389"/>
      <c r="H21" s="4"/>
      <c r="I21" s="4"/>
      <c r="J21" s="4"/>
    </row>
    <row r="22" spans="2:10" x14ac:dyDescent="0.2">
      <c r="B22" s="388"/>
      <c r="H22" s="241"/>
      <c r="I22" s="241"/>
      <c r="J22" s="20"/>
    </row>
    <row r="34" spans="3:8" x14ac:dyDescent="0.2">
      <c r="C34" s="4"/>
      <c r="D34" s="4"/>
      <c r="E34" s="4"/>
      <c r="F34" s="4"/>
      <c r="G34" s="4"/>
      <c r="H34" s="6"/>
    </row>
    <row r="35" spans="3:8" ht="18" customHeight="1" x14ac:dyDescent="0.2"/>
  </sheetData>
  <mergeCells count="4">
    <mergeCell ref="B4:I4"/>
    <mergeCell ref="B6:C6"/>
    <mergeCell ref="H14:J14"/>
    <mergeCell ref="C14:D14"/>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C0BF7-9B0D-43EF-B7E3-1273E033913E}">
  <dimension ref="B1:L89"/>
  <sheetViews>
    <sheetView showGridLines="0" topLeftCell="A64" workbookViewId="0">
      <selection activeCell="F80" sqref="F80"/>
    </sheetView>
  </sheetViews>
  <sheetFormatPr baseColWidth="10" defaultRowHeight="15" x14ac:dyDescent="0.2"/>
  <cols>
    <col min="1" max="1" width="4.5" customWidth="1"/>
    <col min="2" max="2" width="18.83203125" customWidth="1"/>
    <col min="3" max="3" width="16.1640625" customWidth="1"/>
    <col min="4" max="4" width="4.33203125" customWidth="1"/>
    <col min="5" max="5" width="15.6640625" customWidth="1"/>
    <col min="6" max="6" width="16.1640625" customWidth="1"/>
    <col min="8" max="8" width="18.83203125" customWidth="1"/>
    <col min="9" max="10" width="16.1640625" customWidth="1"/>
    <col min="11" max="11" width="16.83203125" customWidth="1"/>
  </cols>
  <sheetData>
    <row r="1" spans="2:12" ht="16" thickBot="1" x14ac:dyDescent="0.25">
      <c r="B1" s="435" t="s">
        <v>1087</v>
      </c>
      <c r="C1" s="436"/>
      <c r="D1" s="436"/>
      <c r="E1" s="436"/>
      <c r="F1" s="437"/>
    </row>
    <row r="2" spans="2:12" ht="15" customHeight="1" thickBot="1" x14ac:dyDescent="0.25">
      <c r="H2" s="373"/>
      <c r="I2" s="428" t="s">
        <v>1093</v>
      </c>
      <c r="J2" s="429"/>
      <c r="K2" s="434"/>
    </row>
    <row r="3" spans="2:12" ht="16" thickBot="1" x14ac:dyDescent="0.25">
      <c r="B3" s="428" t="s">
        <v>1093</v>
      </c>
      <c r="C3" s="434"/>
      <c r="H3" s="101"/>
      <c r="I3" s="101" t="s">
        <v>1087</v>
      </c>
      <c r="J3" s="101" t="s">
        <v>1088</v>
      </c>
      <c r="K3" s="101" t="s">
        <v>1089</v>
      </c>
    </row>
    <row r="4" spans="2:12" ht="16" thickBot="1" x14ac:dyDescent="0.25">
      <c r="B4" s="101"/>
      <c r="C4" s="101" t="s">
        <v>1087</v>
      </c>
      <c r="H4" s="374" t="s">
        <v>1091</v>
      </c>
      <c r="I4" s="374">
        <v>17</v>
      </c>
      <c r="J4" s="374">
        <v>31</v>
      </c>
      <c r="K4" s="375">
        <v>48</v>
      </c>
      <c r="L4" t="s">
        <v>1102</v>
      </c>
    </row>
    <row r="5" spans="2:12" ht="16" thickBot="1" x14ac:dyDescent="0.25">
      <c r="B5" s="374" t="s">
        <v>1091</v>
      </c>
      <c r="C5" s="375">
        <v>17</v>
      </c>
      <c r="H5" s="376" t="s">
        <v>1092</v>
      </c>
      <c r="I5" s="376">
        <f>F16</f>
        <v>3</v>
      </c>
      <c r="J5" s="376">
        <f>F49</f>
        <v>8</v>
      </c>
      <c r="K5" s="377">
        <f>F78</f>
        <v>13</v>
      </c>
    </row>
    <row r="6" spans="2:12" ht="16" thickBot="1" x14ac:dyDescent="0.25">
      <c r="B6" s="376" t="s">
        <v>1092</v>
      </c>
      <c r="C6" s="377">
        <f>' Publicaciones año 1'!E25</f>
        <v>3</v>
      </c>
      <c r="H6" s="106" t="s">
        <v>1090</v>
      </c>
      <c r="I6" s="378">
        <f>I5/I4</f>
        <v>0.17647058823529413</v>
      </c>
      <c r="J6" s="378">
        <f t="shared" ref="J6:K6" si="0">J5/J4</f>
        <v>0.25806451612903225</v>
      </c>
      <c r="K6" s="382">
        <f t="shared" si="0"/>
        <v>0.27083333333333331</v>
      </c>
    </row>
    <row r="7" spans="2:12" ht="16" thickBot="1" x14ac:dyDescent="0.25">
      <c r="B7" s="106" t="s">
        <v>1090</v>
      </c>
      <c r="C7" s="382">
        <f>C6/C5</f>
        <v>0.17647058823529413</v>
      </c>
    </row>
    <row r="8" spans="2:12" x14ac:dyDescent="0.2">
      <c r="B8" s="4"/>
      <c r="C8" s="385"/>
    </row>
    <row r="9" spans="2:12" ht="16" thickBot="1" x14ac:dyDescent="0.25">
      <c r="B9" s="4"/>
      <c r="C9" s="385"/>
    </row>
    <row r="10" spans="2:12" ht="16" thickBot="1" x14ac:dyDescent="0.25">
      <c r="B10" s="428" t="s">
        <v>1103</v>
      </c>
      <c r="C10" s="434"/>
      <c r="E10" s="428" t="s">
        <v>1093</v>
      </c>
      <c r="F10" s="434"/>
    </row>
    <row r="11" spans="2:12" ht="16" thickBot="1" x14ac:dyDescent="0.25">
      <c r="B11" s="4"/>
      <c r="C11" s="385"/>
    </row>
    <row r="12" spans="2:12" ht="16" thickBot="1" x14ac:dyDescent="0.25">
      <c r="B12" s="101" t="s">
        <v>7</v>
      </c>
      <c r="C12" s="101" t="s">
        <v>1087</v>
      </c>
      <c r="E12" s="101" t="s">
        <v>7</v>
      </c>
      <c r="F12" s="101" t="s">
        <v>1087</v>
      </c>
    </row>
    <row r="13" spans="2:12" x14ac:dyDescent="0.2">
      <c r="B13" s="100" t="s">
        <v>12</v>
      </c>
      <c r="C13" s="381">
        <f>COUNTIFS(' Publicaciones año 1'!$D$8:$D$24,"1")</f>
        <v>0</v>
      </c>
      <c r="E13" s="100" t="s">
        <v>1104</v>
      </c>
      <c r="F13" s="381">
        <v>1</v>
      </c>
    </row>
    <row r="14" spans="2:12" x14ac:dyDescent="0.2">
      <c r="B14" s="99" t="s">
        <v>13</v>
      </c>
      <c r="C14" s="381">
        <f>COUNTIFS(' Publicaciones año 1'!$D$8:$D$24,"2")</f>
        <v>4</v>
      </c>
      <c r="E14" s="99" t="s">
        <v>1105</v>
      </c>
      <c r="F14" s="381">
        <v>1</v>
      </c>
    </row>
    <row r="15" spans="2:12" ht="16" thickBot="1" x14ac:dyDescent="0.25">
      <c r="B15" s="99" t="s">
        <v>14</v>
      </c>
      <c r="C15" s="381">
        <f>COUNTIFS(' Publicaciones año 1'!$D$8:$D$24,"3")</f>
        <v>5</v>
      </c>
      <c r="E15" s="386" t="s">
        <v>1106</v>
      </c>
      <c r="F15" s="387">
        <v>1</v>
      </c>
    </row>
    <row r="16" spans="2:12" ht="16" thickBot="1" x14ac:dyDescent="0.25">
      <c r="B16" s="99" t="s">
        <v>15</v>
      </c>
      <c r="C16" s="381">
        <f>COUNTIFS(' Publicaciones año 1'!$D$8:$D$24,"4")</f>
        <v>2</v>
      </c>
      <c r="E16" s="106" t="s">
        <v>17</v>
      </c>
      <c r="F16" s="101">
        <f>SUM(F13:F15)</f>
        <v>3</v>
      </c>
    </row>
    <row r="17" spans="2:6" ht="16" thickBot="1" x14ac:dyDescent="0.25">
      <c r="B17" s="99" t="s">
        <v>16</v>
      </c>
      <c r="C17" s="381">
        <f>COUNTIFS(' Publicaciones año 1'!$D$8:$D$24,"5")</f>
        <v>3</v>
      </c>
    </row>
    <row r="18" spans="2:6" ht="16" thickBot="1" x14ac:dyDescent="0.25">
      <c r="B18" s="106" t="s">
        <v>17</v>
      </c>
      <c r="C18" s="101">
        <f>SUM(C13:C17)</f>
        <v>14</v>
      </c>
    </row>
    <row r="20" spans="2:6" ht="16" thickBot="1" x14ac:dyDescent="0.25"/>
    <row r="21" spans="2:6" ht="16" thickBot="1" x14ac:dyDescent="0.25">
      <c r="B21" s="432" t="s">
        <v>1128</v>
      </c>
      <c r="C21" s="433"/>
    </row>
    <row r="22" spans="2:6" ht="16" thickBot="1" x14ac:dyDescent="0.25">
      <c r="B22" s="106" t="s">
        <v>7</v>
      </c>
      <c r="C22" s="112" t="s">
        <v>10</v>
      </c>
    </row>
    <row r="23" spans="2:6" x14ac:dyDescent="0.2">
      <c r="B23" s="100" t="s">
        <v>12</v>
      </c>
      <c r="C23" s="110">
        <v>64000000</v>
      </c>
    </row>
    <row r="24" spans="2:6" x14ac:dyDescent="0.2">
      <c r="B24" s="99" t="s">
        <v>13</v>
      </c>
      <c r="C24" s="111">
        <v>150000000</v>
      </c>
    </row>
    <row r="25" spans="2:6" x14ac:dyDescent="0.2">
      <c r="B25" s="99" t="s">
        <v>14</v>
      </c>
      <c r="C25" s="400">
        <f>80000000+150000000</f>
        <v>230000000</v>
      </c>
      <c r="E25" s="401" t="s">
        <v>18</v>
      </c>
    </row>
    <row r="26" spans="2:6" x14ac:dyDescent="0.2">
      <c r="B26" s="99" t="s">
        <v>15</v>
      </c>
      <c r="C26" s="111">
        <v>90000000</v>
      </c>
    </row>
    <row r="27" spans="2:6" ht="16" thickBot="1" x14ac:dyDescent="0.25">
      <c r="B27" s="99" t="s">
        <v>16</v>
      </c>
      <c r="C27" s="111">
        <v>80000000</v>
      </c>
    </row>
    <row r="28" spans="2:6" ht="16" thickBot="1" x14ac:dyDescent="0.25">
      <c r="B28" s="106" t="s">
        <v>17</v>
      </c>
      <c r="C28" s="320">
        <f>SUM(C23:C27)</f>
        <v>614000000</v>
      </c>
    </row>
    <row r="31" spans="2:6" ht="16" thickBot="1" x14ac:dyDescent="0.25"/>
    <row r="32" spans="2:6" ht="16" thickBot="1" x14ac:dyDescent="0.25">
      <c r="B32" s="435" t="s">
        <v>1107</v>
      </c>
      <c r="C32" s="436"/>
      <c r="D32" s="436"/>
      <c r="E32" s="436"/>
      <c r="F32" s="437"/>
    </row>
    <row r="33" spans="2:6" ht="16" thickBot="1" x14ac:dyDescent="0.25"/>
    <row r="34" spans="2:6" ht="16" thickBot="1" x14ac:dyDescent="0.25">
      <c r="B34" s="428" t="s">
        <v>1093</v>
      </c>
      <c r="C34" s="434"/>
    </row>
    <row r="35" spans="2:6" ht="16" thickBot="1" x14ac:dyDescent="0.25">
      <c r="B35" s="101"/>
      <c r="C35" s="101" t="s">
        <v>1107</v>
      </c>
    </row>
    <row r="36" spans="2:6" x14ac:dyDescent="0.2">
      <c r="B36" s="374" t="s">
        <v>1091</v>
      </c>
      <c r="C36" s="375">
        <v>31</v>
      </c>
    </row>
    <row r="37" spans="2:6" ht="16" thickBot="1" x14ac:dyDescent="0.25">
      <c r="B37" s="376" t="s">
        <v>1092</v>
      </c>
      <c r="C37" s="377">
        <f>' Publicaciones año 2'!E38</f>
        <v>8</v>
      </c>
    </row>
    <row r="38" spans="2:6" ht="16" thickBot="1" x14ac:dyDescent="0.25">
      <c r="B38" s="106" t="s">
        <v>1090</v>
      </c>
      <c r="C38" s="382">
        <f>C37/C36</f>
        <v>0.25806451612903225</v>
      </c>
    </row>
    <row r="39" spans="2:6" x14ac:dyDescent="0.2">
      <c r="B39" s="4"/>
      <c r="C39" s="385"/>
    </row>
    <row r="40" spans="2:6" ht="16" thickBot="1" x14ac:dyDescent="0.25">
      <c r="B40" s="4"/>
      <c r="C40" s="385"/>
    </row>
    <row r="41" spans="2:6" ht="16" thickBot="1" x14ac:dyDescent="0.25">
      <c r="B41" s="428" t="s">
        <v>1103</v>
      </c>
      <c r="C41" s="434"/>
      <c r="E41" s="428" t="s">
        <v>1093</v>
      </c>
      <c r="F41" s="434"/>
    </row>
    <row r="42" spans="2:6" ht="16" thickBot="1" x14ac:dyDescent="0.25">
      <c r="B42" s="4"/>
      <c r="C42" s="385"/>
    </row>
    <row r="43" spans="2:6" ht="16" thickBot="1" x14ac:dyDescent="0.25">
      <c r="B43" s="101" t="s">
        <v>7</v>
      </c>
      <c r="C43" s="101" t="s">
        <v>1088</v>
      </c>
      <c r="E43" s="101" t="s">
        <v>7</v>
      </c>
      <c r="F43" s="101" t="s">
        <v>1088</v>
      </c>
    </row>
    <row r="44" spans="2:6" x14ac:dyDescent="0.2">
      <c r="B44" s="100" t="s">
        <v>12</v>
      </c>
      <c r="C44" s="381">
        <f>COUNTIFS(' Publicaciones año 2'!$D$7:$D$37,"1")</f>
        <v>2</v>
      </c>
      <c r="E44" s="100" t="s">
        <v>1105</v>
      </c>
      <c r="F44" s="381">
        <v>3</v>
      </c>
    </row>
    <row r="45" spans="2:6" x14ac:dyDescent="0.2">
      <c r="B45" s="99" t="s">
        <v>13</v>
      </c>
      <c r="C45" s="381">
        <f>COUNTIFS(' Publicaciones año 2'!$D$7:$D$37,"2")</f>
        <v>8</v>
      </c>
      <c r="E45" s="99" t="s">
        <v>1106</v>
      </c>
      <c r="F45" s="381">
        <v>1</v>
      </c>
    </row>
    <row r="46" spans="2:6" x14ac:dyDescent="0.2">
      <c r="B46" s="99" t="s">
        <v>14</v>
      </c>
      <c r="C46" s="381">
        <f>COUNTIFS(' Publicaciones año 2'!$D$7:$D$37,"3")</f>
        <v>7</v>
      </c>
      <c r="E46" s="386" t="s">
        <v>1110</v>
      </c>
      <c r="F46" s="98">
        <v>1</v>
      </c>
    </row>
    <row r="47" spans="2:6" x14ac:dyDescent="0.2">
      <c r="B47" s="99" t="s">
        <v>15</v>
      </c>
      <c r="C47" s="381">
        <f>COUNTIFS(' Publicaciones año 2'!$D$7:$D$37,"4")</f>
        <v>5</v>
      </c>
      <c r="E47" s="386" t="s">
        <v>1111</v>
      </c>
      <c r="F47" s="381">
        <v>1</v>
      </c>
    </row>
    <row r="48" spans="2:6" ht="16" thickBot="1" x14ac:dyDescent="0.25">
      <c r="B48" s="99" t="s">
        <v>16</v>
      </c>
      <c r="C48" s="381">
        <f>COUNTIFS(' Publicaciones año 2'!$D$7:$D$37,"5")</f>
        <v>1</v>
      </c>
      <c r="E48" s="386" t="s">
        <v>1112</v>
      </c>
      <c r="F48" s="387">
        <v>2</v>
      </c>
    </row>
    <row r="49" spans="2:6" ht="16" thickBot="1" x14ac:dyDescent="0.25">
      <c r="B49" s="106" t="s">
        <v>17</v>
      </c>
      <c r="C49" s="101">
        <f>SUM(C44:C48)</f>
        <v>23</v>
      </c>
      <c r="E49" s="106" t="s">
        <v>17</v>
      </c>
      <c r="F49" s="101">
        <f>SUM(F44:F48)</f>
        <v>8</v>
      </c>
    </row>
    <row r="51" spans="2:6" ht="16" thickBot="1" x14ac:dyDescent="0.25"/>
    <row r="52" spans="2:6" ht="16" thickBot="1" x14ac:dyDescent="0.25">
      <c r="B52" s="432" t="s">
        <v>1130</v>
      </c>
      <c r="C52" s="433"/>
    </row>
    <row r="53" spans="2:6" ht="16" thickBot="1" x14ac:dyDescent="0.25">
      <c r="B53" s="101" t="s">
        <v>7</v>
      </c>
      <c r="C53" s="112" t="s">
        <v>11</v>
      </c>
    </row>
    <row r="54" spans="2:6" x14ac:dyDescent="0.2">
      <c r="B54" s="100" t="s">
        <v>12</v>
      </c>
      <c r="C54" s="110">
        <v>97219824</v>
      </c>
    </row>
    <row r="55" spans="2:6" x14ac:dyDescent="0.2">
      <c r="B55" s="99" t="s">
        <v>13</v>
      </c>
      <c r="C55" s="111">
        <v>133000000</v>
      </c>
    </row>
    <row r="56" spans="2:6" x14ac:dyDescent="0.2">
      <c r="B56" s="99" t="s">
        <v>14</v>
      </c>
      <c r="C56" s="111">
        <v>70000000</v>
      </c>
    </row>
    <row r="57" spans="2:6" x14ac:dyDescent="0.2">
      <c r="B57" s="99" t="s">
        <v>15</v>
      </c>
      <c r="C57" s="111">
        <v>78800000</v>
      </c>
    </row>
    <row r="58" spans="2:6" ht="16" thickBot="1" x14ac:dyDescent="0.25">
      <c r="B58" s="99" t="s">
        <v>16</v>
      </c>
      <c r="C58" s="111">
        <v>120000000</v>
      </c>
    </row>
    <row r="59" spans="2:6" ht="16" thickBot="1" x14ac:dyDescent="0.25">
      <c r="B59" s="106" t="s">
        <v>17</v>
      </c>
      <c r="C59" s="320">
        <f>SUM(C54:C58)</f>
        <v>499019824</v>
      </c>
    </row>
    <row r="61" spans="2:6" ht="16" thickBot="1" x14ac:dyDescent="0.25"/>
    <row r="62" spans="2:6" ht="16" thickBot="1" x14ac:dyDescent="0.25">
      <c r="B62" s="435" t="s">
        <v>1108</v>
      </c>
      <c r="C62" s="436"/>
      <c r="D62" s="436"/>
      <c r="E62" s="436"/>
      <c r="F62" s="437"/>
    </row>
    <row r="63" spans="2:6" ht="16" thickBot="1" x14ac:dyDescent="0.25"/>
    <row r="64" spans="2:6" ht="16" thickBot="1" x14ac:dyDescent="0.25">
      <c r="B64" s="428" t="s">
        <v>1093</v>
      </c>
      <c r="C64" s="434"/>
    </row>
    <row r="65" spans="2:6" ht="16" thickBot="1" x14ac:dyDescent="0.25">
      <c r="B65" s="101"/>
      <c r="C65" s="101" t="s">
        <v>1108</v>
      </c>
    </row>
    <row r="66" spans="2:6" x14ac:dyDescent="0.2">
      <c r="B66" s="374" t="s">
        <v>1091</v>
      </c>
      <c r="C66" s="375">
        <f>C79+F78</f>
        <v>65</v>
      </c>
    </row>
    <row r="67" spans="2:6" ht="16" thickBot="1" x14ac:dyDescent="0.25">
      <c r="B67" s="376" t="s">
        <v>1092</v>
      </c>
      <c r="C67" s="377">
        <f>' Publicaciones año 3'!F89</f>
        <v>13</v>
      </c>
    </row>
    <row r="68" spans="2:6" ht="16" thickBot="1" x14ac:dyDescent="0.25">
      <c r="B68" s="106" t="s">
        <v>1090</v>
      </c>
      <c r="C68" s="382">
        <f>C67/C66</f>
        <v>0.2</v>
      </c>
    </row>
    <row r="69" spans="2:6" x14ac:dyDescent="0.2">
      <c r="B69" s="4"/>
      <c r="C69" s="385"/>
    </row>
    <row r="70" spans="2:6" ht="16" thickBot="1" x14ac:dyDescent="0.25">
      <c r="B70" s="4"/>
      <c r="C70" s="385"/>
    </row>
    <row r="71" spans="2:6" ht="16" thickBot="1" x14ac:dyDescent="0.25">
      <c r="B71" s="428" t="s">
        <v>1103</v>
      </c>
      <c r="C71" s="434"/>
      <c r="E71" s="428" t="s">
        <v>1093</v>
      </c>
      <c r="F71" s="434"/>
    </row>
    <row r="72" spans="2:6" ht="16" thickBot="1" x14ac:dyDescent="0.25">
      <c r="B72" s="4"/>
      <c r="C72" s="385"/>
    </row>
    <row r="73" spans="2:6" ht="16" thickBot="1" x14ac:dyDescent="0.25">
      <c r="B73" s="101" t="s">
        <v>7</v>
      </c>
      <c r="C73" s="101" t="s">
        <v>1089</v>
      </c>
      <c r="E73" s="101" t="s">
        <v>7</v>
      </c>
      <c r="F73" s="101" t="s">
        <v>1089</v>
      </c>
    </row>
    <row r="74" spans="2:6" x14ac:dyDescent="0.2">
      <c r="B74" s="100" t="s">
        <v>12</v>
      </c>
      <c r="C74" s="381">
        <f>COUNTIFS(' Publicaciones año 3'!$E$8:$E$93,"1")</f>
        <v>5</v>
      </c>
      <c r="E74" s="100" t="s">
        <v>1109</v>
      </c>
      <c r="F74" s="381">
        <v>1</v>
      </c>
    </row>
    <row r="75" spans="2:6" x14ac:dyDescent="0.2">
      <c r="B75" s="99" t="s">
        <v>13</v>
      </c>
      <c r="C75" s="381">
        <f>COUNTIFS(' Publicaciones año 3'!$E$8:$E$93,"2")</f>
        <v>27</v>
      </c>
      <c r="E75" s="99" t="s">
        <v>1105</v>
      </c>
      <c r="F75" s="381">
        <v>10</v>
      </c>
    </row>
    <row r="76" spans="2:6" x14ac:dyDescent="0.2">
      <c r="B76" s="99" t="s">
        <v>14</v>
      </c>
      <c r="C76" s="381">
        <f>COUNTIFS(' Publicaciones año 3'!$E$8:$E$93,"3")</f>
        <v>13</v>
      </c>
      <c r="E76" s="386" t="s">
        <v>1106</v>
      </c>
      <c r="F76" s="98">
        <v>1</v>
      </c>
    </row>
    <row r="77" spans="2:6" ht="16" thickBot="1" x14ac:dyDescent="0.25">
      <c r="B77" s="99" t="s">
        <v>15</v>
      </c>
      <c r="C77" s="381">
        <f>COUNTIFS(' Publicaciones año 3'!$E$8:$E$93,"4")</f>
        <v>6</v>
      </c>
      <c r="E77" s="386" t="s">
        <v>1110</v>
      </c>
      <c r="F77" s="387">
        <v>1</v>
      </c>
    </row>
    <row r="78" spans="2:6" ht="16" thickBot="1" x14ac:dyDescent="0.25">
      <c r="B78" s="99" t="s">
        <v>16</v>
      </c>
      <c r="C78" s="381">
        <f>COUNTIFS(' Publicaciones año 3'!$E$8:$E$93,"5")</f>
        <v>1</v>
      </c>
      <c r="E78" s="106" t="s">
        <v>17</v>
      </c>
      <c r="F78" s="101">
        <f>SUM(F74:F77)</f>
        <v>13</v>
      </c>
    </row>
    <row r="79" spans="2:6" ht="16" thickBot="1" x14ac:dyDescent="0.25">
      <c r="B79" s="106" t="s">
        <v>17</v>
      </c>
      <c r="C79" s="101">
        <f>SUM(C74:C78)</f>
        <v>52</v>
      </c>
    </row>
    <row r="81" spans="2:3" ht="16" thickBot="1" x14ac:dyDescent="0.25"/>
    <row r="82" spans="2:3" ht="16" thickBot="1" x14ac:dyDescent="0.25">
      <c r="B82" s="432" t="s">
        <v>1129</v>
      </c>
      <c r="C82" s="433"/>
    </row>
    <row r="83" spans="2:3" ht="16" thickBot="1" x14ac:dyDescent="0.25">
      <c r="B83" s="101" t="s">
        <v>7</v>
      </c>
      <c r="C83" s="101" t="s">
        <v>846</v>
      </c>
    </row>
    <row r="84" spans="2:3" x14ac:dyDescent="0.2">
      <c r="B84" s="100" t="s">
        <v>12</v>
      </c>
      <c r="C84" s="110">
        <v>80090000</v>
      </c>
    </row>
    <row r="85" spans="2:3" x14ac:dyDescent="0.2">
      <c r="B85" s="99" t="s">
        <v>13</v>
      </c>
      <c r="C85" s="111">
        <v>141500000</v>
      </c>
    </row>
    <row r="86" spans="2:3" x14ac:dyDescent="0.2">
      <c r="B86" s="99" t="s">
        <v>14</v>
      </c>
      <c r="C86" s="111">
        <v>93000000</v>
      </c>
    </row>
    <row r="87" spans="2:3" x14ac:dyDescent="0.2">
      <c r="B87" s="99" t="s">
        <v>15</v>
      </c>
      <c r="C87" s="111">
        <v>93000000</v>
      </c>
    </row>
    <row r="88" spans="2:3" ht="16" thickBot="1" x14ac:dyDescent="0.25">
      <c r="B88" s="99" t="s">
        <v>16</v>
      </c>
      <c r="C88" s="111">
        <v>100000000</v>
      </c>
    </row>
    <row r="89" spans="2:3" ht="16" thickBot="1" x14ac:dyDescent="0.25">
      <c r="B89" s="106" t="s">
        <v>17</v>
      </c>
      <c r="C89" s="320">
        <f>SUM(C84:C88)</f>
        <v>507590000</v>
      </c>
    </row>
  </sheetData>
  <mergeCells count="16">
    <mergeCell ref="B82:C82"/>
    <mergeCell ref="I2:K2"/>
    <mergeCell ref="E71:F71"/>
    <mergeCell ref="B1:F1"/>
    <mergeCell ref="B32:F32"/>
    <mergeCell ref="B62:F62"/>
    <mergeCell ref="B21:C21"/>
    <mergeCell ref="B52:C52"/>
    <mergeCell ref="B3:C3"/>
    <mergeCell ref="B34:C34"/>
    <mergeCell ref="B64:C64"/>
    <mergeCell ref="B71:C71"/>
    <mergeCell ref="B41:C41"/>
    <mergeCell ref="E41:F41"/>
    <mergeCell ref="B10:C10"/>
    <mergeCell ref="E10:F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884F6-0385-42A4-BB87-A3F2720A3A63}">
  <dimension ref="B2:AK9"/>
  <sheetViews>
    <sheetView zoomScale="70" zoomScaleNormal="70" workbookViewId="0">
      <selection activeCell="AA14" sqref="AA14"/>
    </sheetView>
  </sheetViews>
  <sheetFormatPr baseColWidth="10" defaultColWidth="11.5" defaultRowHeight="15" x14ac:dyDescent="0.2"/>
  <cols>
    <col min="1" max="1" width="6" customWidth="1"/>
    <col min="2" max="2" width="5.83203125" customWidth="1"/>
    <col min="3" max="3" width="11" customWidth="1"/>
    <col min="4" max="4" width="9.33203125" customWidth="1"/>
    <col min="5" max="6" width="10.6640625" customWidth="1"/>
    <col min="7" max="8" width="14.5" customWidth="1"/>
    <col min="9" max="9" width="10.1640625" customWidth="1"/>
    <col min="10" max="10" width="55.83203125" customWidth="1"/>
    <col min="11" max="11" width="53.5" customWidth="1"/>
    <col min="12" max="12" width="11.33203125" customWidth="1"/>
    <col min="13" max="13" width="61.6640625" customWidth="1"/>
    <col min="14" max="14" width="10.83203125" customWidth="1"/>
    <col min="15" max="15" width="61.5" customWidth="1"/>
    <col min="16" max="16" width="35.33203125" customWidth="1"/>
    <col min="17" max="17" width="12.83203125" customWidth="1"/>
    <col min="18" max="18" width="15.1640625" customWidth="1"/>
    <col min="19" max="21" width="21.5" customWidth="1"/>
    <col min="22" max="22" width="33.5" customWidth="1"/>
    <col min="23" max="25" width="14.83203125" customWidth="1"/>
    <col min="26" max="26" width="14.1640625" customWidth="1"/>
    <col min="27" max="28" width="16" customWidth="1"/>
    <col min="29" max="29" width="19.6640625" customWidth="1"/>
    <col min="30" max="30" width="18.6640625" customWidth="1"/>
    <col min="31" max="31" width="15.1640625" customWidth="1"/>
    <col min="33" max="33" width="45" customWidth="1"/>
    <col min="35" max="35" width="13.5" customWidth="1"/>
    <col min="36" max="36" width="53.6640625" customWidth="1"/>
    <col min="37" max="37" width="15.5" customWidth="1"/>
    <col min="38" max="38" width="26" customWidth="1"/>
  </cols>
  <sheetData>
    <row r="2" spans="2:37" ht="24" x14ac:dyDescent="0.2">
      <c r="J2" s="67" t="s">
        <v>22</v>
      </c>
    </row>
    <row r="3" spans="2:37" x14ac:dyDescent="0.2">
      <c r="J3" s="19"/>
    </row>
    <row r="4" spans="2:37" ht="20" thickBot="1" x14ac:dyDescent="0.25">
      <c r="J4" s="290" t="s">
        <v>1159</v>
      </c>
    </row>
    <row r="5" spans="2:37" ht="27" thickBot="1" x14ac:dyDescent="0.25">
      <c r="J5" s="30">
        <v>2026</v>
      </c>
    </row>
    <row r="6" spans="2:37" ht="16" thickBot="1" x14ac:dyDescent="0.25"/>
    <row r="7" spans="2:37" s="19" customFormat="1" ht="48" x14ac:dyDescent="0.2">
      <c r="B7" s="71" t="s">
        <v>29</v>
      </c>
      <c r="C7" s="237" t="s">
        <v>779</v>
      </c>
      <c r="D7" s="72" t="s">
        <v>7</v>
      </c>
      <c r="E7" s="72" t="s">
        <v>30</v>
      </c>
      <c r="F7" s="72" t="s">
        <v>930</v>
      </c>
      <c r="G7" s="72" t="s">
        <v>996</v>
      </c>
      <c r="H7" s="72" t="s">
        <v>995</v>
      </c>
      <c r="I7" s="72" t="s">
        <v>1136</v>
      </c>
      <c r="J7" s="72" t="s">
        <v>32</v>
      </c>
      <c r="K7" s="72" t="s">
        <v>33</v>
      </c>
      <c r="L7" s="72" t="s">
        <v>853</v>
      </c>
      <c r="M7" s="72" t="s">
        <v>40</v>
      </c>
      <c r="N7" s="72" t="s">
        <v>850</v>
      </c>
      <c r="O7" s="72" t="s">
        <v>41</v>
      </c>
      <c r="P7" s="72" t="s">
        <v>42</v>
      </c>
      <c r="Q7" s="72" t="s">
        <v>43</v>
      </c>
      <c r="R7" s="72" t="s">
        <v>44</v>
      </c>
      <c r="S7" s="72" t="s">
        <v>45</v>
      </c>
      <c r="T7" s="72" t="s">
        <v>46</v>
      </c>
      <c r="U7" s="72" t="s">
        <v>47</v>
      </c>
      <c r="V7" s="72" t="s">
        <v>48</v>
      </c>
      <c r="W7" s="72" t="s">
        <v>49</v>
      </c>
      <c r="X7" s="72" t="s">
        <v>50</v>
      </c>
      <c r="Y7" s="72" t="s">
        <v>51</v>
      </c>
      <c r="Z7" s="72" t="s">
        <v>52</v>
      </c>
      <c r="AA7" s="54" t="s">
        <v>53</v>
      </c>
      <c r="AB7" s="54" t="s">
        <v>54</v>
      </c>
      <c r="AC7" s="73">
        <v>20000000</v>
      </c>
      <c r="AD7" s="73">
        <v>0</v>
      </c>
      <c r="AE7" s="68" t="s">
        <v>55</v>
      </c>
      <c r="AF7" s="68" t="s">
        <v>56</v>
      </c>
      <c r="AG7" s="68" t="s">
        <v>57</v>
      </c>
      <c r="AH7" s="68" t="s">
        <v>58</v>
      </c>
      <c r="AI7" s="68" t="s">
        <v>59</v>
      </c>
      <c r="AJ7" s="68" t="s">
        <v>60</v>
      </c>
      <c r="AK7" s="68" t="s">
        <v>61</v>
      </c>
    </row>
    <row r="8" spans="2:37" s="357" customFormat="1" ht="60" x14ac:dyDescent="0.2">
      <c r="B8" s="372">
        <v>50</v>
      </c>
      <c r="C8" s="349">
        <v>2025</v>
      </c>
      <c r="D8" s="371" t="s">
        <v>1151</v>
      </c>
      <c r="E8" s="349">
        <v>10</v>
      </c>
      <c r="F8" s="349">
        <v>1</v>
      </c>
      <c r="G8" s="37" t="s">
        <v>105</v>
      </c>
      <c r="H8" s="37">
        <v>4.4000000000000004</v>
      </c>
      <c r="I8" s="349"/>
      <c r="J8" s="347" t="s">
        <v>1148</v>
      </c>
      <c r="K8" s="350" t="s">
        <v>1149</v>
      </c>
      <c r="L8" s="349">
        <v>0</v>
      </c>
      <c r="M8" s="350"/>
      <c r="N8" s="349">
        <v>1</v>
      </c>
      <c r="O8" s="350" t="s">
        <v>1150</v>
      </c>
      <c r="P8" s="351"/>
      <c r="Q8" s="352"/>
      <c r="R8" s="411"/>
      <c r="S8" s="351"/>
      <c r="T8" s="351">
        <v>3906851</v>
      </c>
      <c r="U8" s="355">
        <v>45964</v>
      </c>
      <c r="V8" s="353" t="s">
        <v>784</v>
      </c>
      <c r="W8" s="354"/>
      <c r="X8" s="349" t="s">
        <v>185</v>
      </c>
      <c r="Y8" s="349" t="s">
        <v>1160</v>
      </c>
      <c r="Z8" s="351" t="s">
        <v>1201</v>
      </c>
      <c r="AA8" s="86">
        <v>3076890</v>
      </c>
      <c r="AB8" s="86"/>
      <c r="AC8" s="351"/>
      <c r="AD8" s="351"/>
      <c r="AE8" s="355"/>
      <c r="AF8" s="351"/>
      <c r="AG8" s="410"/>
      <c r="AH8" s="351"/>
      <c r="AI8" s="351"/>
      <c r="AJ8" s="351"/>
      <c r="AK8" s="351"/>
    </row>
    <row r="9" spans="2:37" s="357" customFormat="1" ht="48" x14ac:dyDescent="0.2">
      <c r="B9" s="372">
        <v>49</v>
      </c>
      <c r="C9" s="349">
        <v>2025</v>
      </c>
      <c r="D9" s="349">
        <v>2</v>
      </c>
      <c r="E9" s="349">
        <v>2</v>
      </c>
      <c r="F9" s="349"/>
      <c r="G9" s="352"/>
      <c r="H9" s="352"/>
      <c r="I9" s="352"/>
      <c r="J9" s="347" t="s">
        <v>1144</v>
      </c>
      <c r="K9" s="350" t="s">
        <v>1145</v>
      </c>
      <c r="L9" s="349">
        <v>0</v>
      </c>
      <c r="M9" s="350"/>
      <c r="N9" s="349">
        <v>0</v>
      </c>
      <c r="O9" s="350" t="s">
        <v>1146</v>
      </c>
      <c r="P9" s="351"/>
      <c r="Q9" s="352"/>
      <c r="R9" s="411"/>
      <c r="S9" s="351"/>
      <c r="T9" s="351"/>
      <c r="U9" s="355"/>
      <c r="V9" s="409" t="s">
        <v>1147</v>
      </c>
      <c r="W9" s="354"/>
      <c r="X9" s="349"/>
      <c r="Y9" s="349"/>
      <c r="Z9" s="351"/>
      <c r="AA9" s="63"/>
      <c r="AB9" s="86"/>
      <c r="AC9" s="351"/>
      <c r="AD9" s="351"/>
      <c r="AE9" s="355"/>
      <c r="AF9" s="351"/>
      <c r="AG9" s="410"/>
      <c r="AH9" s="351"/>
      <c r="AI9" s="351"/>
      <c r="AJ9" s="351"/>
      <c r="AK9" s="35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24698-85DD-46EA-81B7-AB88DF841A3B}">
  <sheetPr filterMode="1">
    <tabColor rgb="FFFF0000"/>
  </sheetPr>
  <dimension ref="A1:AJ96"/>
  <sheetViews>
    <sheetView tabSelected="1" zoomScale="110" zoomScaleNormal="110" workbookViewId="0">
      <pane xSplit="2" ySplit="7" topLeftCell="J11" activePane="bottomRight" state="frozen"/>
      <selection pane="topRight" activeCell="C1" sqref="C1"/>
      <selection pane="bottomLeft" activeCell="A8" sqref="A8"/>
      <selection pane="bottomRight" activeCell="J16" sqref="J16"/>
    </sheetView>
  </sheetViews>
  <sheetFormatPr baseColWidth="10" defaultColWidth="11.5" defaultRowHeight="15" x14ac:dyDescent="0.2"/>
  <cols>
    <col min="1" max="1" width="6" style="19" customWidth="1"/>
    <col min="2" max="2" width="5.83203125" style="6" customWidth="1"/>
    <col min="3" max="6" width="2" style="6" customWidth="1"/>
    <col min="7" max="8" width="2" style="20" customWidth="1"/>
    <col min="9" max="9" width="10.1640625" style="20" customWidth="1"/>
    <col min="10" max="10" width="55.83203125" style="19" customWidth="1"/>
    <col min="11" max="11" width="53.5" style="343" customWidth="1"/>
    <col min="12" max="12" width="11.33203125" style="20" customWidth="1"/>
    <col min="13" max="13" width="61.6640625" style="19" customWidth="1"/>
    <col min="14" max="14" width="10.83203125" style="20" customWidth="1"/>
    <col min="15" max="15" width="61.5" style="19" customWidth="1"/>
    <col min="16" max="16" width="12.83203125" style="20" customWidth="1"/>
    <col min="17" max="17" width="15.1640625" style="19" customWidth="1"/>
    <col min="18" max="20" width="21.5" style="19" customWidth="1"/>
    <col min="21" max="21" width="33.5" style="314" customWidth="1"/>
    <col min="22" max="24" width="14.83203125" style="20" customWidth="1"/>
    <col min="25" max="25" width="14.1640625" style="19" customWidth="1"/>
    <col min="26" max="27" width="16" style="21" customWidth="1"/>
    <col min="28" max="28" width="19.6640625" style="19" customWidth="1"/>
    <col min="29" max="29" width="18.6640625" style="19" customWidth="1"/>
    <col min="30" max="30" width="15.1640625" style="19" customWidth="1"/>
    <col min="31" max="31" width="11.5" style="19"/>
    <col min="32" max="32" width="45" style="19" customWidth="1"/>
    <col min="33" max="33" width="11.5" style="19"/>
    <col min="34" max="34" width="13.5" style="19" customWidth="1"/>
    <col min="35" max="35" width="53.6640625" style="19" customWidth="1"/>
    <col min="36" max="36" width="15.5" style="19" customWidth="1"/>
    <col min="37" max="37" width="26" style="19" customWidth="1"/>
    <col min="38" max="16384" width="11.5" style="19"/>
  </cols>
  <sheetData>
    <row r="1" spans="2:36" x14ac:dyDescent="0.2">
      <c r="L1" s="19"/>
      <c r="N1" s="19"/>
    </row>
    <row r="2" spans="2:36" ht="24" x14ac:dyDescent="0.2">
      <c r="J2" s="67" t="s">
        <v>22</v>
      </c>
      <c r="L2" s="19"/>
      <c r="N2" s="19"/>
      <c r="AD2" s="172" t="s">
        <v>23</v>
      </c>
    </row>
    <row r="4" spans="2:36" ht="20" thickBot="1" x14ac:dyDescent="0.25">
      <c r="J4" s="290" t="s">
        <v>754</v>
      </c>
      <c r="L4" s="19"/>
      <c r="N4" s="19"/>
    </row>
    <row r="5" spans="2:36" ht="27" thickBot="1" x14ac:dyDescent="0.25">
      <c r="J5" s="30">
        <v>2025</v>
      </c>
      <c r="L5" s="19"/>
      <c r="N5" s="19"/>
      <c r="U5" s="19"/>
      <c r="AD5" s="19" t="s">
        <v>24</v>
      </c>
    </row>
    <row r="6" spans="2:36" ht="17" thickBot="1" x14ac:dyDescent="0.25">
      <c r="D6" s="439" t="s">
        <v>25</v>
      </c>
      <c r="E6" s="439"/>
      <c r="F6" s="439"/>
      <c r="G6" s="439"/>
      <c r="H6" s="439"/>
      <c r="I6" s="439"/>
      <c r="J6" s="439"/>
      <c r="K6" s="439"/>
      <c r="L6" s="439"/>
      <c r="M6" s="439"/>
      <c r="N6" s="439"/>
      <c r="O6" s="439"/>
      <c r="P6" s="439"/>
      <c r="Q6" s="439"/>
      <c r="R6" s="439"/>
      <c r="S6" s="439"/>
      <c r="T6" s="439"/>
      <c r="U6" s="439"/>
      <c r="V6" s="439"/>
      <c r="W6" s="439"/>
      <c r="X6" s="439"/>
      <c r="Y6" s="440"/>
      <c r="Z6" s="26"/>
      <c r="AA6" s="26"/>
      <c r="AB6" s="11" t="s">
        <v>26</v>
      </c>
      <c r="AC6" s="11" t="s">
        <v>27</v>
      </c>
      <c r="AD6" s="441" t="s">
        <v>28</v>
      </c>
      <c r="AE6" s="441"/>
      <c r="AF6" s="441"/>
      <c r="AG6" s="441"/>
      <c r="AH6" s="441"/>
      <c r="AI6" s="441"/>
    </row>
    <row r="7" spans="2:36" ht="48" x14ac:dyDescent="0.2">
      <c r="B7" s="71" t="s">
        <v>29</v>
      </c>
      <c r="C7" s="237" t="s">
        <v>779</v>
      </c>
      <c r="D7" s="72" t="s">
        <v>7</v>
      </c>
      <c r="E7" s="72" t="s">
        <v>30</v>
      </c>
      <c r="F7" s="72" t="s">
        <v>930</v>
      </c>
      <c r="G7" s="72" t="s">
        <v>996</v>
      </c>
      <c r="H7" s="72" t="s">
        <v>995</v>
      </c>
      <c r="I7" s="72" t="s">
        <v>1136</v>
      </c>
      <c r="J7" s="72" t="s">
        <v>32</v>
      </c>
      <c r="K7" s="72" t="s">
        <v>33</v>
      </c>
      <c r="L7" s="72" t="s">
        <v>853</v>
      </c>
      <c r="M7" s="72" t="s">
        <v>40</v>
      </c>
      <c r="N7" s="72" t="s">
        <v>850</v>
      </c>
      <c r="O7" s="72" t="s">
        <v>41</v>
      </c>
      <c r="P7" s="72" t="s">
        <v>43</v>
      </c>
      <c r="Q7" s="72" t="s">
        <v>44</v>
      </c>
      <c r="R7" s="72" t="s">
        <v>45</v>
      </c>
      <c r="S7" s="72" t="s">
        <v>46</v>
      </c>
      <c r="T7" s="72" t="s">
        <v>47</v>
      </c>
      <c r="U7" s="72" t="s">
        <v>48</v>
      </c>
      <c r="V7" s="72" t="s">
        <v>49</v>
      </c>
      <c r="W7" s="72" t="s">
        <v>50</v>
      </c>
      <c r="X7" s="72" t="s">
        <v>51</v>
      </c>
      <c r="Y7" s="72" t="s">
        <v>52</v>
      </c>
      <c r="Z7" s="54" t="s">
        <v>53</v>
      </c>
      <c r="AA7" s="54" t="s">
        <v>54</v>
      </c>
      <c r="AB7" s="73">
        <v>20000000</v>
      </c>
      <c r="AC7" s="73">
        <v>0</v>
      </c>
      <c r="AD7" s="68" t="s">
        <v>55</v>
      </c>
      <c r="AE7" s="68" t="s">
        <v>56</v>
      </c>
      <c r="AF7" s="68" t="s">
        <v>57</v>
      </c>
      <c r="AG7" s="68" t="s">
        <v>58</v>
      </c>
      <c r="AH7" s="68" t="s">
        <v>59</v>
      </c>
      <c r="AI7" s="68" t="s">
        <v>60</v>
      </c>
      <c r="AJ7" s="68" t="s">
        <v>61</v>
      </c>
    </row>
    <row r="8" spans="2:36" ht="54.5" hidden="1" customHeight="1" x14ac:dyDescent="0.2">
      <c r="B8" s="71">
        <v>1</v>
      </c>
      <c r="C8" s="15">
        <v>2024</v>
      </c>
      <c r="D8" s="33">
        <v>3</v>
      </c>
      <c r="E8" s="33">
        <v>3</v>
      </c>
      <c r="F8" s="33"/>
      <c r="G8" s="33" t="s">
        <v>63</v>
      </c>
      <c r="H8" s="33">
        <v>1.5</v>
      </c>
      <c r="I8" s="33"/>
      <c r="J8" s="46" t="s">
        <v>893</v>
      </c>
      <c r="K8" s="230" t="s">
        <v>1038</v>
      </c>
      <c r="L8" s="33">
        <v>0</v>
      </c>
      <c r="M8" s="33"/>
      <c r="N8" s="33">
        <v>1</v>
      </c>
      <c r="O8" s="230" t="s">
        <v>1152</v>
      </c>
      <c r="P8" s="33">
        <v>100</v>
      </c>
      <c r="Q8" s="33" t="s">
        <v>228</v>
      </c>
      <c r="R8" s="33"/>
      <c r="S8" s="33" t="s">
        <v>760</v>
      </c>
      <c r="T8" s="88">
        <v>45624</v>
      </c>
      <c r="U8" s="33" t="s">
        <v>993</v>
      </c>
      <c r="V8" s="47">
        <v>1</v>
      </c>
      <c r="W8" s="33" t="s">
        <v>337</v>
      </c>
      <c r="X8" s="33" t="s">
        <v>761</v>
      </c>
      <c r="Y8" s="33" t="s">
        <v>764</v>
      </c>
      <c r="Z8" s="291">
        <f>2460*972.43</f>
        <v>2392177.7999999998</v>
      </c>
      <c r="AA8" s="78"/>
      <c r="AB8" s="74" t="s">
        <v>843</v>
      </c>
      <c r="AC8" s="238"/>
      <c r="AD8" s="88">
        <v>45625</v>
      </c>
      <c r="AE8" s="33" t="s">
        <v>766</v>
      </c>
      <c r="AF8" s="87" t="s">
        <v>765</v>
      </c>
      <c r="AG8" s="33"/>
      <c r="AH8" s="33"/>
      <c r="AI8" s="33"/>
      <c r="AJ8" s="33"/>
    </row>
    <row r="9" spans="2:36" ht="73.5" hidden="1" customHeight="1" x14ac:dyDescent="0.2">
      <c r="B9" s="71">
        <v>2</v>
      </c>
      <c r="C9" s="15">
        <v>2024</v>
      </c>
      <c r="D9" s="33" t="s">
        <v>1004</v>
      </c>
      <c r="E9" s="33">
        <v>10</v>
      </c>
      <c r="F9" s="33">
        <v>1</v>
      </c>
      <c r="G9" s="96" t="s">
        <v>9</v>
      </c>
      <c r="H9" s="96">
        <v>4.5999999999999996</v>
      </c>
      <c r="I9" s="96">
        <v>0</v>
      </c>
      <c r="J9" s="46" t="s">
        <v>767</v>
      </c>
      <c r="K9" s="230" t="s">
        <v>1024</v>
      </c>
      <c r="L9" s="33">
        <v>0</v>
      </c>
      <c r="M9" s="33"/>
      <c r="N9" s="33">
        <v>1</v>
      </c>
      <c r="O9" s="230" t="s">
        <v>894</v>
      </c>
      <c r="P9" s="33">
        <v>100</v>
      </c>
      <c r="Q9" s="33" t="s">
        <v>228</v>
      </c>
      <c r="R9" s="33"/>
      <c r="S9" s="33">
        <v>1452808303</v>
      </c>
      <c r="T9" s="88">
        <v>45577</v>
      </c>
      <c r="U9" s="46" t="s">
        <v>768</v>
      </c>
      <c r="V9" s="47">
        <v>1</v>
      </c>
      <c r="W9" s="33" t="s">
        <v>971</v>
      </c>
      <c r="X9" s="33" t="s">
        <v>769</v>
      </c>
      <c r="Y9" s="33" t="s">
        <v>770</v>
      </c>
      <c r="Z9" s="291">
        <f>2307*975.67</f>
        <v>2250870.69</v>
      </c>
      <c r="AA9" s="78"/>
      <c r="AB9" s="74" t="s">
        <v>843</v>
      </c>
      <c r="AC9" s="238"/>
      <c r="AD9" s="88">
        <v>45644</v>
      </c>
      <c r="AE9" s="33"/>
      <c r="AF9" s="239" t="s">
        <v>771</v>
      </c>
      <c r="AG9" s="33"/>
      <c r="AH9" s="33"/>
      <c r="AI9" s="33"/>
      <c r="AJ9" s="33"/>
    </row>
    <row r="10" spans="2:36" ht="65" hidden="1" customHeight="1" x14ac:dyDescent="0.2">
      <c r="B10" s="71">
        <v>3</v>
      </c>
      <c r="C10" s="15">
        <v>2024</v>
      </c>
      <c r="D10" s="33" t="s">
        <v>1004</v>
      </c>
      <c r="E10" s="33">
        <v>10</v>
      </c>
      <c r="F10" s="33">
        <v>1</v>
      </c>
      <c r="G10" s="96" t="s">
        <v>105</v>
      </c>
      <c r="H10" s="96">
        <v>4.4000000000000004</v>
      </c>
      <c r="I10" s="96"/>
      <c r="J10" s="46" t="s">
        <v>924</v>
      </c>
      <c r="K10" s="230" t="s">
        <v>1042</v>
      </c>
      <c r="L10" s="33">
        <v>1</v>
      </c>
      <c r="M10" s="33" t="s">
        <v>1153</v>
      </c>
      <c r="N10" s="33">
        <v>1</v>
      </c>
      <c r="O10" s="230" t="s">
        <v>1153</v>
      </c>
      <c r="P10" s="128"/>
      <c r="Q10" s="33" t="s">
        <v>228</v>
      </c>
      <c r="R10" s="33"/>
      <c r="S10" s="33"/>
      <c r="T10" s="88"/>
      <c r="U10" s="46" t="s">
        <v>784</v>
      </c>
      <c r="V10" s="47">
        <v>0</v>
      </c>
      <c r="W10" s="33" t="s">
        <v>67</v>
      </c>
      <c r="X10" s="33"/>
      <c r="Y10" s="33"/>
      <c r="Z10" s="291"/>
      <c r="AA10" s="78"/>
      <c r="AB10" s="74"/>
      <c r="AC10" s="238"/>
      <c r="AD10" s="88">
        <v>45643</v>
      </c>
      <c r="AE10" s="33"/>
      <c r="AF10" s="239" t="s">
        <v>925</v>
      </c>
      <c r="AG10" s="33"/>
      <c r="AH10" s="33"/>
      <c r="AI10" s="33"/>
      <c r="AJ10" s="33"/>
    </row>
    <row r="11" spans="2:36" ht="32" x14ac:dyDescent="0.2">
      <c r="B11" s="71">
        <v>4</v>
      </c>
      <c r="C11" s="15">
        <v>2025</v>
      </c>
      <c r="D11" s="33">
        <v>4</v>
      </c>
      <c r="E11" s="33">
        <v>4</v>
      </c>
      <c r="F11" s="33"/>
      <c r="G11" s="96" t="s">
        <v>9</v>
      </c>
      <c r="H11" s="96">
        <v>3.6</v>
      </c>
      <c r="I11" s="96">
        <v>1</v>
      </c>
      <c r="J11" s="46" t="s">
        <v>772</v>
      </c>
      <c r="K11" s="344" t="s">
        <v>774</v>
      </c>
      <c r="L11" s="33">
        <v>0</v>
      </c>
      <c r="M11" s="33"/>
      <c r="N11" s="33">
        <v>0</v>
      </c>
      <c r="O11" s="96"/>
      <c r="P11" s="33">
        <v>100</v>
      </c>
      <c r="Q11" s="33" t="s">
        <v>228</v>
      </c>
      <c r="R11" s="96"/>
      <c r="S11" s="33">
        <v>1452824357</v>
      </c>
      <c r="T11" s="88">
        <v>45717</v>
      </c>
      <c r="U11" s="46" t="s">
        <v>1001</v>
      </c>
      <c r="V11" s="47">
        <v>1</v>
      </c>
      <c r="W11" s="33" t="s">
        <v>972</v>
      </c>
      <c r="X11" s="33" t="s">
        <v>780</v>
      </c>
      <c r="Y11" s="33" t="s">
        <v>773</v>
      </c>
      <c r="Z11" s="291">
        <f>1765*1007.51</f>
        <v>1778255.15</v>
      </c>
      <c r="AA11" s="235"/>
      <c r="AB11" s="74" t="s">
        <v>843</v>
      </c>
      <c r="AC11" s="236"/>
      <c r="AD11" s="88">
        <v>45693</v>
      </c>
      <c r="AE11" s="96"/>
      <c r="AF11" s="240" t="s">
        <v>895</v>
      </c>
      <c r="AG11" s="96"/>
      <c r="AH11" s="96"/>
      <c r="AI11" s="96"/>
      <c r="AJ11" s="96"/>
    </row>
    <row r="12" spans="2:36" ht="95.5" hidden="1" customHeight="1" x14ac:dyDescent="0.2">
      <c r="B12" s="71">
        <v>5</v>
      </c>
      <c r="C12" s="15">
        <v>2025</v>
      </c>
      <c r="D12" s="33" t="s">
        <v>1005</v>
      </c>
      <c r="E12" s="33">
        <v>10</v>
      </c>
      <c r="F12" s="33">
        <v>1</v>
      </c>
      <c r="G12" s="96" t="s">
        <v>9</v>
      </c>
      <c r="H12" s="96">
        <v>5.0999999999999996</v>
      </c>
      <c r="I12" s="96">
        <v>0</v>
      </c>
      <c r="J12" s="46" t="s">
        <v>776</v>
      </c>
      <c r="K12" s="230" t="s">
        <v>775</v>
      </c>
      <c r="L12" s="96">
        <v>1</v>
      </c>
      <c r="M12" s="230" t="s">
        <v>848</v>
      </c>
      <c r="N12" s="96">
        <v>1</v>
      </c>
      <c r="O12" s="46" t="s">
        <v>847</v>
      </c>
      <c r="P12" s="128"/>
      <c r="Q12" s="33" t="s">
        <v>228</v>
      </c>
      <c r="R12" s="33"/>
      <c r="S12" s="33">
        <v>0</v>
      </c>
      <c r="T12" s="96"/>
      <c r="U12" s="46" t="s">
        <v>777</v>
      </c>
      <c r="V12" s="310">
        <v>0</v>
      </c>
      <c r="W12" s="33" t="s">
        <v>67</v>
      </c>
      <c r="X12" s="96"/>
      <c r="Y12" s="33">
        <v>0</v>
      </c>
      <c r="Z12" s="292"/>
      <c r="AA12" s="235"/>
      <c r="AB12" s="238"/>
      <c r="AC12" s="236"/>
      <c r="AD12" s="88">
        <v>45662</v>
      </c>
      <c r="AE12" s="96"/>
      <c r="AF12" s="240" t="s">
        <v>778</v>
      </c>
      <c r="AG12" s="96"/>
      <c r="AH12" s="96"/>
      <c r="AI12" s="96"/>
      <c r="AJ12" s="96"/>
    </row>
    <row r="13" spans="2:36" ht="35" hidden="1" customHeight="1" x14ac:dyDescent="0.2">
      <c r="B13" s="71">
        <v>6</v>
      </c>
      <c r="C13" s="15">
        <v>2025</v>
      </c>
      <c r="D13" s="15">
        <v>3</v>
      </c>
      <c r="E13" s="33">
        <v>3</v>
      </c>
      <c r="F13" s="15"/>
      <c r="G13" s="37" t="s">
        <v>9</v>
      </c>
      <c r="H13" s="37">
        <v>4.9000000000000004</v>
      </c>
      <c r="I13" s="37">
        <v>0</v>
      </c>
      <c r="J13" s="17" t="s">
        <v>755</v>
      </c>
      <c r="K13" s="22" t="s">
        <v>1023</v>
      </c>
      <c r="L13" s="15">
        <v>0</v>
      </c>
      <c r="M13" s="16"/>
      <c r="N13" s="15">
        <v>1</v>
      </c>
      <c r="O13" s="16" t="s">
        <v>849</v>
      </c>
      <c r="P13" s="15">
        <v>100</v>
      </c>
      <c r="Q13" s="16" t="s">
        <v>228</v>
      </c>
      <c r="R13" s="16"/>
      <c r="S13" s="16">
        <v>3432801</v>
      </c>
      <c r="T13" s="18">
        <v>45684</v>
      </c>
      <c r="U13" s="16" t="s">
        <v>997</v>
      </c>
      <c r="V13" s="41">
        <v>1</v>
      </c>
      <c r="W13" s="15" t="s">
        <v>973</v>
      </c>
      <c r="X13" s="15" t="s">
        <v>762</v>
      </c>
      <c r="Y13" s="16" t="s">
        <v>756</v>
      </c>
      <c r="Z13" s="63">
        <v>2369538</v>
      </c>
      <c r="AA13" s="45"/>
      <c r="AB13" s="74" t="s">
        <v>843</v>
      </c>
      <c r="AC13" s="16"/>
      <c r="AD13" s="16" t="s">
        <v>786</v>
      </c>
      <c r="AE13" s="16"/>
      <c r="AF13" s="85" t="s">
        <v>935</v>
      </c>
      <c r="AG13" s="16"/>
      <c r="AH13" s="16"/>
      <c r="AI13" s="16"/>
      <c r="AJ13" s="16"/>
    </row>
    <row r="14" spans="2:36" ht="41.5" hidden="1" customHeight="1" x14ac:dyDescent="0.2">
      <c r="B14" s="71">
        <v>7</v>
      </c>
      <c r="C14" s="15">
        <v>2025</v>
      </c>
      <c r="D14" s="15">
        <v>1</v>
      </c>
      <c r="E14" s="15">
        <v>1</v>
      </c>
      <c r="F14" s="15"/>
      <c r="G14" s="15" t="s">
        <v>9</v>
      </c>
      <c r="H14" s="15">
        <v>3.4</v>
      </c>
      <c r="I14" s="15">
        <v>0</v>
      </c>
      <c r="J14" s="16" t="s">
        <v>757</v>
      </c>
      <c r="K14" s="22" t="s">
        <v>1026</v>
      </c>
      <c r="L14" s="15">
        <v>0</v>
      </c>
      <c r="M14" s="16"/>
      <c r="N14" s="15">
        <v>1</v>
      </c>
      <c r="O14" s="95" t="s">
        <v>896</v>
      </c>
      <c r="P14" s="15">
        <v>50</v>
      </c>
      <c r="Q14" s="16" t="s">
        <v>228</v>
      </c>
      <c r="R14" s="16"/>
      <c r="S14" s="16"/>
      <c r="T14" s="16"/>
      <c r="U14" s="16" t="s">
        <v>161</v>
      </c>
      <c r="V14" s="41">
        <v>0.5</v>
      </c>
      <c r="W14" s="15" t="s">
        <v>974</v>
      </c>
      <c r="X14" s="15" t="s">
        <v>763</v>
      </c>
      <c r="Y14" s="16" t="s">
        <v>758</v>
      </c>
      <c r="Z14" s="63">
        <v>1619094</v>
      </c>
      <c r="AA14" s="45"/>
      <c r="AB14" s="74" t="s">
        <v>843</v>
      </c>
      <c r="AC14" s="16"/>
      <c r="AD14" s="18">
        <v>45748</v>
      </c>
      <c r="AE14" s="16"/>
      <c r="AF14" s="85" t="s">
        <v>787</v>
      </c>
      <c r="AG14" s="16"/>
      <c r="AH14" s="16"/>
      <c r="AI14" s="16"/>
      <c r="AJ14" s="16"/>
    </row>
    <row r="15" spans="2:36" ht="34.5" hidden="1" customHeight="1" x14ac:dyDescent="0.2">
      <c r="B15" s="71">
        <v>8</v>
      </c>
      <c r="C15" s="15">
        <v>2025</v>
      </c>
      <c r="D15" s="15">
        <v>3</v>
      </c>
      <c r="E15" s="33">
        <v>3</v>
      </c>
      <c r="F15" s="15"/>
      <c r="G15" s="37" t="s">
        <v>105</v>
      </c>
      <c r="H15" s="37">
        <v>4.4000000000000004</v>
      </c>
      <c r="I15" s="37"/>
      <c r="J15" s="17" t="s">
        <v>783</v>
      </c>
      <c r="K15" s="22" t="s">
        <v>1030</v>
      </c>
      <c r="L15" s="15">
        <v>0</v>
      </c>
      <c r="M15" s="16"/>
      <c r="N15" s="15">
        <v>1</v>
      </c>
      <c r="O15" s="95" t="s">
        <v>897</v>
      </c>
      <c r="P15" s="15">
        <v>30</v>
      </c>
      <c r="Q15" s="16" t="s">
        <v>228</v>
      </c>
      <c r="R15" s="16"/>
      <c r="S15" s="16"/>
      <c r="T15" s="16"/>
      <c r="U15" s="16" t="s">
        <v>784</v>
      </c>
      <c r="V15" s="310">
        <v>0</v>
      </c>
      <c r="W15" s="15" t="s">
        <v>67</v>
      </c>
      <c r="X15" s="15"/>
      <c r="Y15" s="16"/>
      <c r="Z15" s="293"/>
      <c r="AA15" s="45"/>
      <c r="AB15" s="16"/>
      <c r="AC15" s="16"/>
      <c r="AD15" s="18">
        <v>45683</v>
      </c>
      <c r="AE15" s="16"/>
      <c r="AF15" s="90" t="s">
        <v>785</v>
      </c>
      <c r="AG15" s="16"/>
      <c r="AH15" s="16"/>
      <c r="AI15" s="16"/>
      <c r="AJ15" s="16"/>
    </row>
    <row r="16" spans="2:36" ht="42.5" customHeight="1" x14ac:dyDescent="0.2">
      <c r="B16" s="71">
        <v>9</v>
      </c>
      <c r="C16" s="15">
        <v>2025</v>
      </c>
      <c r="D16" s="15">
        <v>4</v>
      </c>
      <c r="E16" s="15">
        <v>4</v>
      </c>
      <c r="F16" s="15"/>
      <c r="G16" s="15" t="s">
        <v>63</v>
      </c>
      <c r="H16" s="15">
        <v>2</v>
      </c>
      <c r="I16" s="15"/>
      <c r="J16" s="17" t="s">
        <v>819</v>
      </c>
      <c r="K16" s="321" t="s">
        <v>789</v>
      </c>
      <c r="L16" s="15">
        <v>0</v>
      </c>
      <c r="M16" s="16"/>
      <c r="N16" s="15">
        <v>1</v>
      </c>
      <c r="O16" s="95" t="s">
        <v>851</v>
      </c>
      <c r="P16" s="15">
        <v>100</v>
      </c>
      <c r="Q16" s="16" t="s">
        <v>228</v>
      </c>
      <c r="R16" s="16"/>
      <c r="S16" s="16"/>
      <c r="T16" s="16"/>
      <c r="U16" s="16" t="s">
        <v>290</v>
      </c>
      <c r="V16" s="310">
        <v>0</v>
      </c>
      <c r="W16" s="15" t="s">
        <v>67</v>
      </c>
      <c r="X16" s="15"/>
      <c r="Y16" s="16"/>
      <c r="Z16" s="293"/>
      <c r="AA16" s="245"/>
      <c r="AB16" s="16"/>
      <c r="AC16" s="16"/>
      <c r="AD16" s="18">
        <v>45688</v>
      </c>
      <c r="AE16" s="16"/>
      <c r="AF16" s="85" t="s">
        <v>936</v>
      </c>
      <c r="AG16" s="16"/>
      <c r="AH16" s="16"/>
      <c r="AI16" s="16"/>
      <c r="AJ16" s="16"/>
    </row>
    <row r="17" spans="2:36" ht="50" hidden="1" customHeight="1" x14ac:dyDescent="0.2">
      <c r="B17" s="71">
        <v>10</v>
      </c>
      <c r="C17" s="15">
        <v>2025</v>
      </c>
      <c r="D17" s="15">
        <v>2</v>
      </c>
      <c r="E17" s="15">
        <v>2</v>
      </c>
      <c r="F17" s="15"/>
      <c r="G17" s="37" t="s">
        <v>9</v>
      </c>
      <c r="H17" s="37">
        <v>8.1</v>
      </c>
      <c r="I17" s="37">
        <v>1</v>
      </c>
      <c r="J17" s="16" t="s">
        <v>788</v>
      </c>
      <c r="K17" s="22" t="s">
        <v>1020</v>
      </c>
      <c r="L17" s="15">
        <v>1</v>
      </c>
      <c r="M17" s="95" t="s">
        <v>852</v>
      </c>
      <c r="N17" s="15">
        <v>0</v>
      </c>
      <c r="O17" s="16"/>
      <c r="P17" s="15">
        <v>50</v>
      </c>
      <c r="Q17" s="16" t="s">
        <v>228</v>
      </c>
      <c r="R17" s="16"/>
      <c r="S17" s="16"/>
      <c r="T17" s="16"/>
      <c r="U17" s="315" t="s">
        <v>1137</v>
      </c>
      <c r="V17" s="310">
        <v>0</v>
      </c>
      <c r="W17" s="33" t="s">
        <v>67</v>
      </c>
      <c r="X17" s="15"/>
      <c r="Y17" s="16"/>
      <c r="Z17" s="293"/>
      <c r="AA17" s="245"/>
      <c r="AB17" s="16"/>
      <c r="AC17" s="16"/>
      <c r="AD17" s="18">
        <v>45728</v>
      </c>
      <c r="AE17" s="16"/>
      <c r="AF17" s="16" t="s">
        <v>937</v>
      </c>
      <c r="AG17" s="16"/>
      <c r="AH17" s="16"/>
      <c r="AI17" s="16"/>
      <c r="AJ17" s="16"/>
    </row>
    <row r="18" spans="2:36" ht="40.5" hidden="1" customHeight="1" x14ac:dyDescent="0.2">
      <c r="B18" s="71">
        <v>11</v>
      </c>
      <c r="C18" s="15">
        <v>2025</v>
      </c>
      <c r="D18" s="15">
        <v>2</v>
      </c>
      <c r="E18" s="15">
        <v>2</v>
      </c>
      <c r="F18" s="15"/>
      <c r="G18" s="15" t="s">
        <v>63</v>
      </c>
      <c r="H18" s="15">
        <v>2.1</v>
      </c>
      <c r="I18" s="15"/>
      <c r="J18" s="17" t="s">
        <v>790</v>
      </c>
      <c r="K18" s="22" t="s">
        <v>1037</v>
      </c>
      <c r="L18" s="15">
        <v>0</v>
      </c>
      <c r="M18" s="16"/>
      <c r="N18" s="15">
        <v>1</v>
      </c>
      <c r="O18" s="95" t="s">
        <v>855</v>
      </c>
      <c r="P18" s="246"/>
      <c r="Q18" s="16" t="s">
        <v>228</v>
      </c>
      <c r="R18" s="16"/>
      <c r="S18" s="16"/>
      <c r="T18" s="16"/>
      <c r="U18" s="46" t="s">
        <v>1000</v>
      </c>
      <c r="V18" s="310">
        <v>0</v>
      </c>
      <c r="W18" s="33" t="s">
        <v>67</v>
      </c>
      <c r="X18" s="15"/>
      <c r="Y18" s="16"/>
      <c r="Z18" s="293"/>
      <c r="AA18" s="245"/>
      <c r="AB18" s="16"/>
      <c r="AC18" s="16"/>
      <c r="AD18" s="18">
        <v>45769</v>
      </c>
      <c r="AE18" s="16"/>
      <c r="AF18" s="90" t="s">
        <v>791</v>
      </c>
      <c r="AG18" s="16"/>
      <c r="AH18" s="16"/>
      <c r="AI18" s="16"/>
      <c r="AJ18" s="16"/>
    </row>
    <row r="19" spans="2:36" ht="46.5" hidden="1" customHeight="1" x14ac:dyDescent="0.2">
      <c r="B19" s="71">
        <v>12</v>
      </c>
      <c r="C19" s="15">
        <v>2025</v>
      </c>
      <c r="D19" s="15" t="s">
        <v>1006</v>
      </c>
      <c r="E19" s="33">
        <v>10</v>
      </c>
      <c r="F19" s="15">
        <v>1</v>
      </c>
      <c r="G19" s="15" t="s">
        <v>105</v>
      </c>
      <c r="H19" s="15">
        <v>3</v>
      </c>
      <c r="I19" s="15"/>
      <c r="J19" s="17" t="s">
        <v>794</v>
      </c>
      <c r="K19" s="22" t="s">
        <v>1032</v>
      </c>
      <c r="L19" s="15">
        <v>1</v>
      </c>
      <c r="M19" s="17" t="s">
        <v>856</v>
      </c>
      <c r="N19" s="15">
        <v>1</v>
      </c>
      <c r="O19" s="95" t="s">
        <v>857</v>
      </c>
      <c r="P19" s="15">
        <v>100</v>
      </c>
      <c r="Q19" s="16" t="s">
        <v>228</v>
      </c>
      <c r="R19" s="16"/>
      <c r="S19" s="16"/>
      <c r="T19" s="16"/>
      <c r="U19" s="315" t="s">
        <v>795</v>
      </c>
      <c r="V19" s="311">
        <v>1</v>
      </c>
      <c r="W19" s="15" t="s">
        <v>185</v>
      </c>
      <c r="X19" s="15" t="s">
        <v>796</v>
      </c>
      <c r="Y19" s="16" t="s">
        <v>797</v>
      </c>
      <c r="Z19" s="63">
        <v>1967882</v>
      </c>
      <c r="AA19" s="252"/>
      <c r="AB19" s="74" t="s">
        <v>843</v>
      </c>
      <c r="AC19" s="16"/>
      <c r="AD19" s="18">
        <v>45775</v>
      </c>
      <c r="AE19" s="16"/>
      <c r="AF19" s="253" t="s">
        <v>798</v>
      </c>
      <c r="AG19" s="16"/>
      <c r="AH19" s="16"/>
      <c r="AI19" s="16"/>
      <c r="AJ19" s="16"/>
    </row>
    <row r="20" spans="2:36" ht="37.5" hidden="1" customHeight="1" x14ac:dyDescent="0.2">
      <c r="B20" s="71">
        <v>13</v>
      </c>
      <c r="C20" s="15">
        <v>2025</v>
      </c>
      <c r="D20" s="15">
        <v>5</v>
      </c>
      <c r="E20" s="15">
        <v>5</v>
      </c>
      <c r="F20" s="15"/>
      <c r="G20" s="15" t="s">
        <v>105</v>
      </c>
      <c r="H20" s="318">
        <v>1.3</v>
      </c>
      <c r="I20" s="318"/>
      <c r="J20" s="17" t="s">
        <v>799</v>
      </c>
      <c r="K20" s="345" t="s">
        <v>1035</v>
      </c>
      <c r="L20" s="15">
        <v>0</v>
      </c>
      <c r="M20" s="16"/>
      <c r="N20" s="15">
        <v>1</v>
      </c>
      <c r="O20" s="95" t="s">
        <v>858</v>
      </c>
      <c r="P20" s="15">
        <v>100</v>
      </c>
      <c r="Q20" s="16" t="s">
        <v>228</v>
      </c>
      <c r="R20" s="16"/>
      <c r="S20" s="16"/>
      <c r="T20" s="16"/>
      <c r="U20" s="16" t="s">
        <v>800</v>
      </c>
      <c r="V20" s="310">
        <v>0</v>
      </c>
      <c r="W20" s="15" t="s">
        <v>185</v>
      </c>
      <c r="X20" s="15" t="s">
        <v>801</v>
      </c>
      <c r="Y20" s="16">
        <v>0</v>
      </c>
      <c r="Z20" s="293"/>
      <c r="AA20" s="245"/>
      <c r="AB20" s="16"/>
      <c r="AC20" s="16"/>
      <c r="AD20" s="18">
        <v>45698</v>
      </c>
      <c r="AE20" s="16"/>
      <c r="AF20" s="85" t="s">
        <v>818</v>
      </c>
      <c r="AG20" s="16"/>
      <c r="AH20" s="16"/>
      <c r="AI20" s="16"/>
      <c r="AJ20" s="16"/>
    </row>
    <row r="21" spans="2:36" ht="38.5" hidden="1" customHeight="1" x14ac:dyDescent="0.2">
      <c r="B21" s="71">
        <v>14</v>
      </c>
      <c r="C21" s="15">
        <v>2025</v>
      </c>
      <c r="D21" s="15">
        <v>2</v>
      </c>
      <c r="E21" s="15">
        <v>2</v>
      </c>
      <c r="F21" s="15"/>
      <c r="G21" s="37" t="s">
        <v>105</v>
      </c>
      <c r="H21" s="37">
        <v>2.2999999999999998</v>
      </c>
      <c r="I21" s="37"/>
      <c r="J21" s="17" t="s">
        <v>802</v>
      </c>
      <c r="K21" s="22" t="s">
        <v>1028</v>
      </c>
      <c r="L21" s="15">
        <v>1</v>
      </c>
      <c r="M21" s="16" t="s">
        <v>860</v>
      </c>
      <c r="N21" s="15">
        <v>1</v>
      </c>
      <c r="O21" s="95" t="s">
        <v>859</v>
      </c>
      <c r="P21" s="246"/>
      <c r="Q21" s="16" t="s">
        <v>228</v>
      </c>
      <c r="R21" s="16"/>
      <c r="S21" s="16"/>
      <c r="T21" s="16"/>
      <c r="U21" s="315" t="s">
        <v>916</v>
      </c>
      <c r="V21" s="310">
        <v>0</v>
      </c>
      <c r="W21" s="15" t="s">
        <v>970</v>
      </c>
      <c r="X21" s="15" t="s">
        <v>803</v>
      </c>
      <c r="Y21" s="16"/>
      <c r="Z21" s="293"/>
      <c r="AA21" s="245"/>
      <c r="AB21" s="16"/>
      <c r="AC21" s="16"/>
      <c r="AD21" s="18">
        <v>45750</v>
      </c>
      <c r="AE21" s="16"/>
      <c r="AF21" s="253" t="s">
        <v>804</v>
      </c>
      <c r="AG21" s="16"/>
      <c r="AH21" s="16"/>
      <c r="AI21" s="16"/>
      <c r="AJ21" s="16"/>
    </row>
    <row r="22" spans="2:36" ht="46.5" hidden="1" customHeight="1" x14ac:dyDescent="0.2">
      <c r="B22" s="71">
        <v>15</v>
      </c>
      <c r="C22" s="15">
        <v>2025</v>
      </c>
      <c r="D22" s="15">
        <v>1</v>
      </c>
      <c r="E22" s="15">
        <v>1</v>
      </c>
      <c r="F22" s="15"/>
      <c r="G22" s="15" t="s">
        <v>105</v>
      </c>
      <c r="H22" s="15">
        <v>2.7</v>
      </c>
      <c r="I22" s="15"/>
      <c r="J22" s="17" t="s">
        <v>805</v>
      </c>
      <c r="K22" s="22" t="s">
        <v>1034</v>
      </c>
      <c r="L22" s="15">
        <v>0</v>
      </c>
      <c r="M22" s="16"/>
      <c r="N22" s="15">
        <v>1</v>
      </c>
      <c r="O22" s="95" t="s">
        <v>861</v>
      </c>
      <c r="P22" s="15">
        <v>100</v>
      </c>
      <c r="Q22" s="16" t="s">
        <v>228</v>
      </c>
      <c r="R22" s="16"/>
      <c r="S22" s="16"/>
      <c r="T22" s="16"/>
      <c r="U22" s="16" t="s">
        <v>816</v>
      </c>
      <c r="V22" s="311">
        <v>1</v>
      </c>
      <c r="W22" s="15" t="s">
        <v>975</v>
      </c>
      <c r="X22" s="15" t="s">
        <v>806</v>
      </c>
      <c r="Y22" s="16" t="s">
        <v>807</v>
      </c>
      <c r="Z22" s="63">
        <v>3176058</v>
      </c>
      <c r="AA22" s="245"/>
      <c r="AB22" s="74" t="s">
        <v>843</v>
      </c>
      <c r="AC22" s="16"/>
      <c r="AD22" s="18">
        <v>45790</v>
      </c>
      <c r="AE22" s="16"/>
      <c r="AF22" s="254" t="s">
        <v>817</v>
      </c>
      <c r="AG22" s="16"/>
      <c r="AH22" s="16"/>
      <c r="AI22" s="16"/>
      <c r="AJ22" s="16"/>
    </row>
    <row r="23" spans="2:36" ht="32" x14ac:dyDescent="0.2">
      <c r="B23" s="71">
        <v>16</v>
      </c>
      <c r="C23" s="15">
        <v>2025</v>
      </c>
      <c r="D23" s="15">
        <v>4</v>
      </c>
      <c r="E23" s="15">
        <v>4</v>
      </c>
      <c r="F23" s="15"/>
      <c r="G23" s="15" t="s">
        <v>105</v>
      </c>
      <c r="H23" s="15">
        <v>3</v>
      </c>
      <c r="I23" s="15"/>
      <c r="J23" s="17" t="s">
        <v>792</v>
      </c>
      <c r="K23" s="22" t="s">
        <v>1033</v>
      </c>
      <c r="L23" s="15">
        <v>0</v>
      </c>
      <c r="M23" s="16"/>
      <c r="N23" s="15">
        <v>1</v>
      </c>
      <c r="O23" s="301" t="s">
        <v>854</v>
      </c>
      <c r="P23" s="15">
        <v>100</v>
      </c>
      <c r="Q23" s="16" t="s">
        <v>228</v>
      </c>
      <c r="R23" s="16"/>
      <c r="S23" s="16"/>
      <c r="T23" s="16"/>
      <c r="U23" s="16" t="s">
        <v>793</v>
      </c>
      <c r="V23" s="311">
        <v>1</v>
      </c>
      <c r="W23" s="15" t="s">
        <v>976</v>
      </c>
      <c r="X23" s="15" t="s">
        <v>809</v>
      </c>
      <c r="Y23" s="16" t="s">
        <v>810</v>
      </c>
      <c r="Z23" s="63">
        <v>4468665</v>
      </c>
      <c r="AA23" s="252"/>
      <c r="AB23" s="74" t="s">
        <v>843</v>
      </c>
      <c r="AC23" s="16"/>
      <c r="AD23" s="18">
        <v>45768</v>
      </c>
      <c r="AE23" s="16"/>
      <c r="AF23" s="254" t="s">
        <v>811</v>
      </c>
      <c r="AG23" s="16"/>
      <c r="AH23" s="16"/>
      <c r="AI23" s="16"/>
      <c r="AJ23" s="16"/>
    </row>
    <row r="24" spans="2:36" ht="34" customHeight="1" x14ac:dyDescent="0.2">
      <c r="B24" s="71">
        <v>17</v>
      </c>
      <c r="C24" s="15">
        <v>2025</v>
      </c>
      <c r="D24" s="15">
        <v>4</v>
      </c>
      <c r="E24" s="15">
        <v>4</v>
      </c>
      <c r="F24" s="15"/>
      <c r="G24" s="15" t="s">
        <v>105</v>
      </c>
      <c r="H24" s="15">
        <v>2.6</v>
      </c>
      <c r="I24" s="15"/>
      <c r="J24" s="17" t="s">
        <v>814</v>
      </c>
      <c r="K24" s="321" t="s">
        <v>815</v>
      </c>
      <c r="L24" s="15">
        <v>1</v>
      </c>
      <c r="M24" s="17" t="s">
        <v>872</v>
      </c>
      <c r="N24" s="15">
        <v>0</v>
      </c>
      <c r="O24" s="16"/>
      <c r="P24" s="15">
        <v>100</v>
      </c>
      <c r="Q24" s="16" t="s">
        <v>228</v>
      </c>
      <c r="R24" s="16"/>
      <c r="S24" s="16" t="s">
        <v>871</v>
      </c>
      <c r="T24" s="18">
        <v>45771</v>
      </c>
      <c r="U24" s="16" t="s">
        <v>988</v>
      </c>
      <c r="V24" s="311">
        <v>1</v>
      </c>
      <c r="W24" s="15" t="s">
        <v>977</v>
      </c>
      <c r="X24" s="15" t="s">
        <v>812</v>
      </c>
      <c r="Y24" s="16" t="s">
        <v>813</v>
      </c>
      <c r="Z24" s="252">
        <v>2137165</v>
      </c>
      <c r="AA24" s="252"/>
      <c r="AB24" s="294">
        <f>AB7-Z24</f>
        <v>17862835</v>
      </c>
      <c r="AC24" s="16"/>
      <c r="AD24" s="18">
        <v>45793</v>
      </c>
      <c r="AE24" s="16"/>
      <c r="AF24" s="141" t="s">
        <v>870</v>
      </c>
      <c r="AG24" s="16"/>
      <c r="AH24" s="16"/>
      <c r="AI24" s="16"/>
      <c r="AJ24" s="16"/>
    </row>
    <row r="25" spans="2:36" ht="32" x14ac:dyDescent="0.2">
      <c r="B25" s="71">
        <v>18</v>
      </c>
      <c r="C25" s="15">
        <v>2025</v>
      </c>
      <c r="D25" s="15" t="s">
        <v>1007</v>
      </c>
      <c r="E25" s="33">
        <v>10</v>
      </c>
      <c r="F25" s="15">
        <v>1</v>
      </c>
      <c r="G25" s="15" t="s">
        <v>63</v>
      </c>
      <c r="H25" s="15">
        <v>1.5</v>
      </c>
      <c r="I25" s="15"/>
      <c r="J25" s="17" t="s">
        <v>873</v>
      </c>
      <c r="K25" s="22" t="s">
        <v>1039</v>
      </c>
      <c r="L25" s="15">
        <v>1</v>
      </c>
      <c r="M25" s="17" t="s">
        <v>874</v>
      </c>
      <c r="N25" s="15">
        <v>0</v>
      </c>
      <c r="O25" s="16"/>
      <c r="P25" s="246"/>
      <c r="Q25" s="16" t="s">
        <v>228</v>
      </c>
      <c r="R25" s="16"/>
      <c r="S25" s="16"/>
      <c r="T25" s="16"/>
      <c r="U25" s="315" t="s">
        <v>1008</v>
      </c>
      <c r="V25" s="310">
        <v>0</v>
      </c>
      <c r="W25" s="15" t="s">
        <v>67</v>
      </c>
      <c r="X25" s="15"/>
      <c r="Y25" s="16"/>
      <c r="Z25" s="252">
        <v>0</v>
      </c>
      <c r="AA25" s="252"/>
      <c r="AB25" s="294">
        <f>AB24-Z25</f>
        <v>17862835</v>
      </c>
      <c r="AC25" s="16"/>
      <c r="AD25" s="18">
        <v>45686</v>
      </c>
      <c r="AF25" s="254" t="s">
        <v>875</v>
      </c>
      <c r="AG25" s="16"/>
      <c r="AH25" s="16"/>
      <c r="AI25" s="16"/>
      <c r="AJ25" s="16"/>
    </row>
    <row r="26" spans="2:36" ht="92.5" hidden="1" customHeight="1" x14ac:dyDescent="0.2">
      <c r="B26" s="71">
        <v>19</v>
      </c>
      <c r="C26" s="15">
        <v>2025</v>
      </c>
      <c r="D26" s="15">
        <v>2</v>
      </c>
      <c r="E26" s="15">
        <v>2</v>
      </c>
      <c r="F26" s="15"/>
      <c r="G26" s="15" t="s">
        <v>63</v>
      </c>
      <c r="H26" s="15">
        <v>1.3</v>
      </c>
      <c r="I26" s="15"/>
      <c r="J26" s="17" t="s">
        <v>876</v>
      </c>
      <c r="K26" s="22" t="s">
        <v>918</v>
      </c>
      <c r="L26" s="15">
        <v>1</v>
      </c>
      <c r="M26" s="22" t="s">
        <v>879</v>
      </c>
      <c r="N26" s="15">
        <v>0</v>
      </c>
      <c r="O26" s="16"/>
      <c r="P26" s="246"/>
      <c r="Q26" s="16" t="s">
        <v>228</v>
      </c>
      <c r="R26" s="16"/>
      <c r="S26" s="16"/>
      <c r="T26" s="16"/>
      <c r="U26" s="315" t="s">
        <v>877</v>
      </c>
      <c r="V26" s="310">
        <v>0</v>
      </c>
      <c r="W26" s="33" t="s">
        <v>67</v>
      </c>
      <c r="X26" s="15"/>
      <c r="Y26" s="16"/>
      <c r="Z26" s="252">
        <v>0</v>
      </c>
      <c r="AA26" s="252"/>
      <c r="AB26" s="294">
        <f>AB25-Z26</f>
        <v>17862835</v>
      </c>
      <c r="AC26" s="16"/>
      <c r="AD26" s="18">
        <v>45701</v>
      </c>
      <c r="AF26" s="254" t="s">
        <v>878</v>
      </c>
      <c r="AG26" s="16"/>
      <c r="AH26" s="16"/>
      <c r="AI26" s="16"/>
      <c r="AJ26" s="16"/>
    </row>
    <row r="27" spans="2:36" ht="40" hidden="1" customHeight="1" x14ac:dyDescent="0.2">
      <c r="B27" s="71">
        <v>20</v>
      </c>
      <c r="C27" s="15">
        <v>2025</v>
      </c>
      <c r="D27" s="15">
        <v>2</v>
      </c>
      <c r="E27" s="15">
        <v>2</v>
      </c>
      <c r="F27" s="15"/>
      <c r="G27" s="37" t="s">
        <v>9</v>
      </c>
      <c r="H27" s="37">
        <v>25.9</v>
      </c>
      <c r="I27" s="37">
        <v>1</v>
      </c>
      <c r="J27" s="17" t="s">
        <v>880</v>
      </c>
      <c r="K27" s="22" t="s">
        <v>1018</v>
      </c>
      <c r="L27" s="15">
        <v>0</v>
      </c>
      <c r="M27" s="17"/>
      <c r="N27" s="15">
        <v>1</v>
      </c>
      <c r="O27" s="16" t="s">
        <v>932</v>
      </c>
      <c r="P27" s="246"/>
      <c r="Q27" s="16" t="s">
        <v>228</v>
      </c>
      <c r="R27" s="16"/>
      <c r="S27" s="16"/>
      <c r="T27" s="16"/>
      <c r="U27" s="316" t="s">
        <v>881</v>
      </c>
      <c r="V27" s="310">
        <v>0</v>
      </c>
      <c r="W27" s="33" t="s">
        <v>67</v>
      </c>
      <c r="X27" s="15"/>
      <c r="Y27" s="16"/>
      <c r="Z27" s="252">
        <v>0</v>
      </c>
      <c r="AA27" s="252"/>
      <c r="AB27" s="294">
        <f t="shared" ref="AB27:AB45" si="0">AB26-Z27</f>
        <v>17862835</v>
      </c>
      <c r="AC27" s="16"/>
      <c r="AD27" s="18">
        <v>45716</v>
      </c>
      <c r="AF27" s="254" t="s">
        <v>882</v>
      </c>
      <c r="AG27" s="16"/>
      <c r="AH27" s="16"/>
      <c r="AI27" s="16"/>
      <c r="AJ27" s="16"/>
    </row>
    <row r="28" spans="2:36" ht="53" hidden="1" customHeight="1" x14ac:dyDescent="0.2">
      <c r="B28" s="71">
        <v>21</v>
      </c>
      <c r="C28" s="15">
        <v>2025</v>
      </c>
      <c r="D28" s="15">
        <v>2</v>
      </c>
      <c r="E28" s="15">
        <v>2</v>
      </c>
      <c r="F28" s="15"/>
      <c r="G28" s="37" t="s">
        <v>9</v>
      </c>
      <c r="H28" s="37">
        <v>4.3</v>
      </c>
      <c r="I28" s="37">
        <v>0</v>
      </c>
      <c r="J28" s="17" t="s">
        <v>883</v>
      </c>
      <c r="K28" s="22" t="s">
        <v>1025</v>
      </c>
      <c r="L28" s="15">
        <v>1</v>
      </c>
      <c r="M28" s="22" t="s">
        <v>884</v>
      </c>
      <c r="N28" s="15">
        <v>0</v>
      </c>
      <c r="O28" s="16"/>
      <c r="P28" s="246"/>
      <c r="Q28" s="16" t="s">
        <v>228</v>
      </c>
      <c r="R28" s="16"/>
      <c r="S28" s="16"/>
      <c r="T28" s="16"/>
      <c r="U28" s="315" t="s">
        <v>885</v>
      </c>
      <c r="V28" s="310">
        <v>0</v>
      </c>
      <c r="W28" s="33" t="s">
        <v>67</v>
      </c>
      <c r="X28" s="15"/>
      <c r="Y28" s="16"/>
      <c r="Z28" s="252">
        <v>0</v>
      </c>
      <c r="AA28" s="252"/>
      <c r="AB28" s="294">
        <f t="shared" si="0"/>
        <v>17862835</v>
      </c>
      <c r="AC28" s="16"/>
      <c r="AD28" s="18">
        <v>45707</v>
      </c>
      <c r="AF28" s="254" t="s">
        <v>886</v>
      </c>
      <c r="AG28" s="16"/>
      <c r="AH28" s="16"/>
      <c r="AI28" s="16"/>
      <c r="AJ28" s="16"/>
    </row>
    <row r="29" spans="2:36" ht="81" hidden="1" customHeight="1" x14ac:dyDescent="0.2">
      <c r="B29" s="71">
        <v>22</v>
      </c>
      <c r="C29" s="15">
        <v>2025</v>
      </c>
      <c r="D29" s="15">
        <v>2</v>
      </c>
      <c r="E29" s="15">
        <v>2</v>
      </c>
      <c r="F29" s="15"/>
      <c r="G29" s="37" t="s">
        <v>9</v>
      </c>
      <c r="H29" s="37">
        <v>3.7</v>
      </c>
      <c r="I29" s="37">
        <v>1</v>
      </c>
      <c r="J29" s="17" t="s">
        <v>887</v>
      </c>
      <c r="K29" s="22" t="s">
        <v>933</v>
      </c>
      <c r="L29" s="15">
        <v>1</v>
      </c>
      <c r="M29" s="22" t="s">
        <v>939</v>
      </c>
      <c r="N29" s="15">
        <v>1</v>
      </c>
      <c r="O29" s="17" t="s">
        <v>939</v>
      </c>
      <c r="P29" s="246"/>
      <c r="Q29" s="16" t="s">
        <v>228</v>
      </c>
      <c r="R29" s="16"/>
      <c r="S29" s="16"/>
      <c r="T29" s="16"/>
      <c r="U29" s="315" t="s">
        <v>938</v>
      </c>
      <c r="V29" s="310">
        <v>0</v>
      </c>
      <c r="W29" s="15" t="s">
        <v>67</v>
      </c>
      <c r="X29" s="15"/>
      <c r="Y29" s="16"/>
      <c r="Z29" s="252">
        <v>0</v>
      </c>
      <c r="AA29" s="252"/>
      <c r="AB29" s="294">
        <f t="shared" si="0"/>
        <v>17862835</v>
      </c>
      <c r="AC29" s="16"/>
      <c r="AD29" s="18">
        <v>45727</v>
      </c>
      <c r="AF29" s="254" t="s">
        <v>888</v>
      </c>
      <c r="AG29" s="16"/>
      <c r="AH29" s="16"/>
      <c r="AI29" s="16"/>
      <c r="AJ29" s="16"/>
    </row>
    <row r="30" spans="2:36" ht="40" hidden="1" customHeight="1" x14ac:dyDescent="0.2">
      <c r="B30" s="71">
        <v>23</v>
      </c>
      <c r="C30" s="15">
        <v>2025</v>
      </c>
      <c r="D30" s="15">
        <v>2</v>
      </c>
      <c r="E30" s="15">
        <v>2</v>
      </c>
      <c r="F30" s="15"/>
      <c r="G30" s="15" t="s">
        <v>63</v>
      </c>
      <c r="H30" s="15">
        <v>1.2</v>
      </c>
      <c r="I30" s="15"/>
      <c r="J30" s="17" t="s">
        <v>889</v>
      </c>
      <c r="K30" s="22" t="s">
        <v>1040</v>
      </c>
      <c r="L30" s="15">
        <v>0</v>
      </c>
      <c r="M30" s="22"/>
      <c r="N30" s="15">
        <v>1</v>
      </c>
      <c r="O30" s="17" t="s">
        <v>890</v>
      </c>
      <c r="P30" s="246"/>
      <c r="Q30" s="16" t="s">
        <v>228</v>
      </c>
      <c r="R30" s="16"/>
      <c r="S30" s="16"/>
      <c r="T30" s="16"/>
      <c r="U30" s="315" t="s">
        <v>892</v>
      </c>
      <c r="V30" s="310">
        <v>0</v>
      </c>
      <c r="W30" s="15"/>
      <c r="X30" s="15"/>
      <c r="Y30" s="16"/>
      <c r="Z30" s="252">
        <v>0</v>
      </c>
      <c r="AA30" s="252"/>
      <c r="AB30" s="294">
        <f t="shared" si="0"/>
        <v>17862835</v>
      </c>
      <c r="AC30" s="16"/>
      <c r="AD30" s="306">
        <v>45807</v>
      </c>
      <c r="AF30" s="307" t="s">
        <v>891</v>
      </c>
      <c r="AG30" s="16"/>
      <c r="AH30" s="16"/>
      <c r="AI30" s="16"/>
      <c r="AJ30" s="16"/>
    </row>
    <row r="31" spans="2:36" ht="60" hidden="1" x14ac:dyDescent="0.2">
      <c r="B31" s="71">
        <v>24</v>
      </c>
      <c r="C31" s="15">
        <v>2025</v>
      </c>
      <c r="D31" s="15">
        <v>3</v>
      </c>
      <c r="E31" s="33">
        <v>3</v>
      </c>
      <c r="F31" s="15"/>
      <c r="G31" s="15" t="s">
        <v>63</v>
      </c>
      <c r="H31" s="15">
        <v>3</v>
      </c>
      <c r="I31" s="15"/>
      <c r="J31" s="17" t="s">
        <v>898</v>
      </c>
      <c r="K31" s="22" t="s">
        <v>1036</v>
      </c>
      <c r="L31" s="15">
        <v>0</v>
      </c>
      <c r="M31" s="22"/>
      <c r="N31" s="15">
        <v>1</v>
      </c>
      <c r="O31" s="22" t="s">
        <v>900</v>
      </c>
      <c r="P31" s="246"/>
      <c r="Q31" s="16" t="s">
        <v>228</v>
      </c>
      <c r="R31" s="16"/>
      <c r="S31" s="16"/>
      <c r="T31" s="16"/>
      <c r="U31" s="16" t="s">
        <v>899</v>
      </c>
      <c r="V31" s="310">
        <v>0</v>
      </c>
      <c r="W31" s="15" t="s">
        <v>67</v>
      </c>
      <c r="X31" s="15"/>
      <c r="Y31" s="16"/>
      <c r="Z31" s="252">
        <v>0</v>
      </c>
      <c r="AA31" s="252"/>
      <c r="AB31" s="294">
        <f t="shared" si="0"/>
        <v>17862835</v>
      </c>
      <c r="AC31" s="16"/>
      <c r="AD31" s="18">
        <v>45868</v>
      </c>
      <c r="AE31" s="16"/>
      <c r="AF31" s="85" t="s">
        <v>940</v>
      </c>
      <c r="AG31" s="16"/>
      <c r="AH31" s="16"/>
      <c r="AI31" s="16"/>
      <c r="AJ31" s="16"/>
    </row>
    <row r="32" spans="2:36" ht="32" hidden="1" x14ac:dyDescent="0.2">
      <c r="B32" s="71">
        <v>25</v>
      </c>
      <c r="C32" s="15">
        <v>2025</v>
      </c>
      <c r="D32" s="15">
        <v>3</v>
      </c>
      <c r="E32" s="33">
        <v>3</v>
      </c>
      <c r="F32" s="15"/>
      <c r="G32" s="37" t="s">
        <v>9</v>
      </c>
      <c r="H32" s="37">
        <v>6.6</v>
      </c>
      <c r="I32" s="37">
        <v>0</v>
      </c>
      <c r="J32" s="17" t="s">
        <v>901</v>
      </c>
      <c r="K32" s="22" t="s">
        <v>1120</v>
      </c>
      <c r="L32" s="15">
        <v>0</v>
      </c>
      <c r="M32" s="17"/>
      <c r="N32" s="15">
        <v>0</v>
      </c>
      <c r="O32" s="16"/>
      <c r="P32" s="246"/>
      <c r="Q32" s="16" t="s">
        <v>228</v>
      </c>
      <c r="R32" s="16"/>
      <c r="S32" s="16">
        <v>3648338</v>
      </c>
      <c r="T32" s="18">
        <v>45826</v>
      </c>
      <c r="U32" s="16" t="s">
        <v>998</v>
      </c>
      <c r="V32" s="41">
        <v>0.5</v>
      </c>
      <c r="W32" s="41" t="s">
        <v>337</v>
      </c>
      <c r="X32" s="15" t="s">
        <v>902</v>
      </c>
      <c r="Y32" s="16" t="s">
        <v>903</v>
      </c>
      <c r="Z32" s="252">
        <v>3244953</v>
      </c>
      <c r="AA32" s="252"/>
      <c r="AB32" s="294">
        <f t="shared" si="0"/>
        <v>14617882</v>
      </c>
      <c r="AC32" s="16"/>
      <c r="AD32" s="18">
        <v>45833</v>
      </c>
      <c r="AE32" s="16"/>
      <c r="AF32" s="304" t="s">
        <v>941</v>
      </c>
      <c r="AG32" s="16"/>
      <c r="AH32" s="16"/>
      <c r="AI32" s="16"/>
      <c r="AJ32" s="16"/>
    </row>
    <row r="33" spans="2:36" ht="74" hidden="1" customHeight="1" x14ac:dyDescent="0.2">
      <c r="B33" s="71">
        <v>26</v>
      </c>
      <c r="C33" s="15">
        <v>2025</v>
      </c>
      <c r="D33" s="15">
        <v>2</v>
      </c>
      <c r="E33" s="15">
        <v>2</v>
      </c>
      <c r="F33" s="15"/>
      <c r="G33" s="37" t="s">
        <v>9</v>
      </c>
      <c r="H33" s="37">
        <v>7.6</v>
      </c>
      <c r="I33" s="37">
        <v>1</v>
      </c>
      <c r="J33" s="17" t="s">
        <v>931</v>
      </c>
      <c r="K33" s="22" t="s">
        <v>1021</v>
      </c>
      <c r="L33" s="15">
        <v>0</v>
      </c>
      <c r="M33" s="17"/>
      <c r="N33" s="15">
        <v>1</v>
      </c>
      <c r="O33" s="95" t="s">
        <v>942</v>
      </c>
      <c r="P33" s="246"/>
      <c r="Q33" s="16" t="s">
        <v>228</v>
      </c>
      <c r="R33" s="16"/>
      <c r="S33" s="16" t="s">
        <v>908</v>
      </c>
      <c r="T33" s="18">
        <v>45860</v>
      </c>
      <c r="U33" s="315" t="s">
        <v>1002</v>
      </c>
      <c r="V33" s="41">
        <v>1</v>
      </c>
      <c r="W33" s="41" t="s">
        <v>145</v>
      </c>
      <c r="X33" s="15" t="s">
        <v>909</v>
      </c>
      <c r="Y33" s="16" t="s">
        <v>910</v>
      </c>
      <c r="Z33" s="252">
        <v>2350131</v>
      </c>
      <c r="AA33" s="252"/>
      <c r="AB33" s="294">
        <f t="shared" si="0"/>
        <v>12267751</v>
      </c>
      <c r="AC33" s="16"/>
      <c r="AD33" s="18">
        <v>45880</v>
      </c>
      <c r="AE33" s="16"/>
      <c r="AF33" s="253" t="s">
        <v>943</v>
      </c>
      <c r="AG33" s="16"/>
      <c r="AH33" s="16"/>
      <c r="AI33" s="16"/>
      <c r="AJ33" s="16"/>
    </row>
    <row r="34" spans="2:36" ht="52.5" hidden="1" customHeight="1" x14ac:dyDescent="0.2">
      <c r="B34" s="71">
        <v>27</v>
      </c>
      <c r="C34" s="15">
        <v>2025</v>
      </c>
      <c r="D34" s="15">
        <v>2</v>
      </c>
      <c r="E34" s="15">
        <v>2</v>
      </c>
      <c r="F34" s="15"/>
      <c r="G34" s="37" t="s">
        <v>105</v>
      </c>
      <c r="H34" s="37">
        <v>2.2999999999999998</v>
      </c>
      <c r="I34" s="37"/>
      <c r="J34" s="17" t="s">
        <v>915</v>
      </c>
      <c r="K34" s="22" t="s">
        <v>1029</v>
      </c>
      <c r="L34" s="15">
        <v>1</v>
      </c>
      <c r="M34" s="309" t="s">
        <v>944</v>
      </c>
      <c r="N34" s="15">
        <v>1</v>
      </c>
      <c r="O34" s="309" t="s">
        <v>944</v>
      </c>
      <c r="P34" s="246"/>
      <c r="Q34" s="16" t="s">
        <v>228</v>
      </c>
      <c r="R34" s="16"/>
      <c r="S34" s="16" t="s">
        <v>911</v>
      </c>
      <c r="T34" s="18">
        <v>45860</v>
      </c>
      <c r="U34" s="315" t="s">
        <v>916</v>
      </c>
      <c r="V34" s="41">
        <v>1</v>
      </c>
      <c r="W34" s="41" t="s">
        <v>412</v>
      </c>
      <c r="X34" s="15" t="s">
        <v>912</v>
      </c>
      <c r="Y34" s="16" t="s">
        <v>913</v>
      </c>
      <c r="Z34" s="252">
        <v>2979375</v>
      </c>
      <c r="AA34" s="252"/>
      <c r="AB34" s="294">
        <f t="shared" si="0"/>
        <v>9288376</v>
      </c>
      <c r="AC34" s="16"/>
      <c r="AD34" s="18">
        <v>45879</v>
      </c>
      <c r="AE34" s="16"/>
      <c r="AF34" s="85" t="s">
        <v>945</v>
      </c>
      <c r="AG34" s="16"/>
      <c r="AH34" s="16"/>
      <c r="AI34" s="16"/>
      <c r="AJ34" s="16"/>
    </row>
    <row r="35" spans="2:36" ht="62" hidden="1" customHeight="1" x14ac:dyDescent="0.2">
      <c r="B35" s="71">
        <v>28</v>
      </c>
      <c r="C35" s="15">
        <v>2025</v>
      </c>
      <c r="D35" s="15">
        <v>3</v>
      </c>
      <c r="E35" s="33">
        <v>3</v>
      </c>
      <c r="F35" s="15"/>
      <c r="G35" s="15" t="s">
        <v>105</v>
      </c>
      <c r="H35" s="15">
        <v>3.3</v>
      </c>
      <c r="I35" s="15"/>
      <c r="J35" s="17" t="s">
        <v>914</v>
      </c>
      <c r="K35" s="22" t="s">
        <v>1031</v>
      </c>
      <c r="L35" s="15">
        <v>1</v>
      </c>
      <c r="M35" s="309" t="s">
        <v>946</v>
      </c>
      <c r="N35" s="15">
        <v>1</v>
      </c>
      <c r="O35" s="17" t="s">
        <v>946</v>
      </c>
      <c r="P35" s="41">
        <v>0.5</v>
      </c>
      <c r="Q35" s="16" t="s">
        <v>228</v>
      </c>
      <c r="R35" s="16"/>
      <c r="S35" s="16"/>
      <c r="T35" s="16"/>
      <c r="U35" s="16" t="s">
        <v>263</v>
      </c>
      <c r="V35" s="310">
        <v>1</v>
      </c>
      <c r="W35" s="15" t="s">
        <v>1117</v>
      </c>
      <c r="X35" s="15" t="s">
        <v>1118</v>
      </c>
      <c r="Y35" s="16" t="s">
        <v>1119</v>
      </c>
      <c r="Z35" s="63">
        <v>2080966</v>
      </c>
      <c r="AA35" s="252"/>
      <c r="AB35" s="294">
        <f t="shared" si="0"/>
        <v>7207410</v>
      </c>
      <c r="AC35" s="16"/>
      <c r="AD35" s="18">
        <v>45863</v>
      </c>
      <c r="AE35" s="16"/>
      <c r="AF35" s="254" t="s">
        <v>947</v>
      </c>
      <c r="AG35" s="16"/>
      <c r="AH35" s="16"/>
      <c r="AI35" s="16"/>
      <c r="AJ35" s="16"/>
    </row>
    <row r="36" spans="2:36" ht="120" hidden="1" customHeight="1" x14ac:dyDescent="0.2">
      <c r="B36" s="71">
        <v>29</v>
      </c>
      <c r="C36" s="15">
        <v>2025</v>
      </c>
      <c r="D36" s="15" t="s">
        <v>1005</v>
      </c>
      <c r="E36" s="33">
        <v>10</v>
      </c>
      <c r="F36" s="15">
        <v>1</v>
      </c>
      <c r="G36" s="37" t="s">
        <v>9</v>
      </c>
      <c r="H36" s="37">
        <v>5.9</v>
      </c>
      <c r="I36" s="37">
        <v>1</v>
      </c>
      <c r="J36" s="17" t="s">
        <v>917</v>
      </c>
      <c r="K36" s="22" t="s">
        <v>1043</v>
      </c>
      <c r="L36" s="15">
        <v>1</v>
      </c>
      <c r="M36" s="17" t="s">
        <v>948</v>
      </c>
      <c r="N36" s="15">
        <v>1</v>
      </c>
      <c r="O36" s="17" t="s">
        <v>948</v>
      </c>
      <c r="P36" s="246"/>
      <c r="Q36" s="16" t="s">
        <v>228</v>
      </c>
      <c r="R36" s="16"/>
      <c r="S36" s="16"/>
      <c r="T36" s="16"/>
      <c r="U36" s="315" t="s">
        <v>950</v>
      </c>
      <c r="V36" s="310">
        <v>0</v>
      </c>
      <c r="W36" s="15" t="s">
        <v>67</v>
      </c>
      <c r="X36" s="15"/>
      <c r="Y36" s="16"/>
      <c r="Z36" s="252"/>
      <c r="AA36" s="252"/>
      <c r="AB36" s="294">
        <f t="shared" si="0"/>
        <v>7207410</v>
      </c>
      <c r="AC36" s="16"/>
      <c r="AD36" s="18">
        <v>45835</v>
      </c>
      <c r="AE36" s="16"/>
      <c r="AF36" s="254" t="s">
        <v>949</v>
      </c>
      <c r="AG36" s="16"/>
      <c r="AH36" s="16"/>
      <c r="AI36" s="16"/>
      <c r="AJ36" s="16"/>
    </row>
    <row r="37" spans="2:36" ht="143.5" hidden="1" customHeight="1" x14ac:dyDescent="0.2">
      <c r="B37" s="71">
        <v>30</v>
      </c>
      <c r="C37" s="15">
        <v>2025</v>
      </c>
      <c r="D37" s="15" t="s">
        <v>1005</v>
      </c>
      <c r="E37" s="33">
        <v>10</v>
      </c>
      <c r="F37" s="15">
        <v>1</v>
      </c>
      <c r="G37" s="37" t="s">
        <v>9</v>
      </c>
      <c r="H37" s="37">
        <v>6.8</v>
      </c>
      <c r="I37" s="37">
        <v>0</v>
      </c>
      <c r="J37" s="17" t="s">
        <v>920</v>
      </c>
      <c r="K37" s="22" t="s">
        <v>921</v>
      </c>
      <c r="L37" s="15">
        <v>1</v>
      </c>
      <c r="M37" s="17" t="s">
        <v>952</v>
      </c>
      <c r="N37" s="15">
        <v>1</v>
      </c>
      <c r="O37" s="17" t="s">
        <v>952</v>
      </c>
      <c r="P37" s="246"/>
      <c r="Q37" s="16" t="s">
        <v>228</v>
      </c>
      <c r="R37" s="16"/>
      <c r="S37" s="16"/>
      <c r="T37" s="16"/>
      <c r="U37" s="315" t="s">
        <v>991</v>
      </c>
      <c r="V37" s="310">
        <v>0</v>
      </c>
      <c r="W37" s="15" t="s">
        <v>67</v>
      </c>
      <c r="X37" s="15"/>
      <c r="Y37" s="16"/>
      <c r="Z37" s="252"/>
      <c r="AA37" s="252"/>
      <c r="AB37" s="294">
        <f t="shared" si="0"/>
        <v>7207410</v>
      </c>
      <c r="AC37" s="16"/>
      <c r="AD37" s="18">
        <v>45736</v>
      </c>
      <c r="AE37" s="16"/>
      <c r="AF37" s="254" t="s">
        <v>951</v>
      </c>
      <c r="AG37" s="16"/>
      <c r="AH37" s="16"/>
      <c r="AI37" s="16"/>
      <c r="AJ37" s="16"/>
    </row>
    <row r="38" spans="2:36" ht="109" hidden="1" customHeight="1" x14ac:dyDescent="0.2">
      <c r="B38" s="71">
        <v>31</v>
      </c>
      <c r="C38" s="15">
        <v>2025</v>
      </c>
      <c r="D38" s="15">
        <v>3</v>
      </c>
      <c r="E38" s="33">
        <v>3</v>
      </c>
      <c r="F38" s="15"/>
      <c r="G38" s="15" t="s">
        <v>105</v>
      </c>
      <c r="H38" s="15">
        <v>3.3</v>
      </c>
      <c r="I38" s="15"/>
      <c r="J38" s="17" t="s">
        <v>922</v>
      </c>
      <c r="K38" s="22" t="s">
        <v>992</v>
      </c>
      <c r="L38" s="15">
        <v>1</v>
      </c>
      <c r="M38" s="17" t="s">
        <v>953</v>
      </c>
      <c r="N38" s="15">
        <v>1</v>
      </c>
      <c r="O38" s="17" t="s">
        <v>953</v>
      </c>
      <c r="P38" s="352"/>
      <c r="Q38" s="16" t="s">
        <v>228</v>
      </c>
      <c r="R38" s="16"/>
      <c r="S38" s="16"/>
      <c r="T38" s="16"/>
      <c r="U38" s="16" t="s">
        <v>923</v>
      </c>
      <c r="V38" s="312">
        <v>0</v>
      </c>
      <c r="W38" s="15" t="s">
        <v>67</v>
      </c>
      <c r="X38" s="15"/>
      <c r="Y38" s="16"/>
      <c r="Z38" s="252"/>
      <c r="AA38" s="252"/>
      <c r="AB38" s="294">
        <f t="shared" si="0"/>
        <v>7207410</v>
      </c>
      <c r="AC38" s="16"/>
      <c r="AD38" s="18">
        <v>45841</v>
      </c>
      <c r="AE38" s="16"/>
      <c r="AF38" s="254" t="s">
        <v>954</v>
      </c>
      <c r="AG38" s="16"/>
      <c r="AH38" s="16"/>
      <c r="AI38" s="16"/>
      <c r="AJ38" s="16"/>
    </row>
    <row r="39" spans="2:36" ht="155.5" hidden="1" customHeight="1" x14ac:dyDescent="0.2">
      <c r="B39" s="71">
        <v>32</v>
      </c>
      <c r="C39" s="15">
        <v>2025</v>
      </c>
      <c r="D39" s="15" t="s">
        <v>1005</v>
      </c>
      <c r="E39" s="33">
        <v>10</v>
      </c>
      <c r="F39" s="15">
        <v>1</v>
      </c>
      <c r="G39" s="15" t="s">
        <v>9</v>
      </c>
      <c r="H39" s="15">
        <v>8.3000000000000007</v>
      </c>
      <c r="I39" s="15">
        <v>0</v>
      </c>
      <c r="J39" s="17" t="s">
        <v>926</v>
      </c>
      <c r="K39" s="22" t="s">
        <v>927</v>
      </c>
      <c r="L39" s="15">
        <v>1</v>
      </c>
      <c r="M39" s="22" t="s">
        <v>955</v>
      </c>
      <c r="N39" s="15">
        <v>1</v>
      </c>
      <c r="O39" s="22" t="s">
        <v>955</v>
      </c>
      <c r="P39" s="246"/>
      <c r="Q39" s="16" t="s">
        <v>228</v>
      </c>
      <c r="R39" s="16"/>
      <c r="S39" s="16"/>
      <c r="T39" s="16"/>
      <c r="U39" s="315" t="s">
        <v>994</v>
      </c>
      <c r="V39" s="310">
        <v>0</v>
      </c>
      <c r="W39" s="15" t="s">
        <v>67</v>
      </c>
      <c r="X39" s="15"/>
      <c r="Y39" s="16"/>
      <c r="Z39" s="252"/>
      <c r="AA39" s="252"/>
      <c r="AB39" s="294">
        <f t="shared" si="0"/>
        <v>7207410</v>
      </c>
      <c r="AC39" s="16"/>
      <c r="AD39" s="18">
        <v>45719</v>
      </c>
      <c r="AE39" s="16"/>
      <c r="AF39" s="254" t="s">
        <v>928</v>
      </c>
      <c r="AG39" s="16"/>
      <c r="AH39" s="16"/>
      <c r="AI39" s="16"/>
      <c r="AJ39" s="16"/>
    </row>
    <row r="40" spans="2:36" ht="87" hidden="1" customHeight="1" x14ac:dyDescent="0.2">
      <c r="B40" s="71">
        <v>33</v>
      </c>
      <c r="C40" s="15">
        <v>2025</v>
      </c>
      <c r="D40" s="15">
        <v>3</v>
      </c>
      <c r="E40" s="33">
        <v>3</v>
      </c>
      <c r="F40" s="15"/>
      <c r="G40" s="37" t="s">
        <v>9</v>
      </c>
      <c r="H40" s="37">
        <v>7.7</v>
      </c>
      <c r="I40" s="37">
        <v>0</v>
      </c>
      <c r="J40" s="17" t="s">
        <v>929</v>
      </c>
      <c r="K40" s="22" t="s">
        <v>1019</v>
      </c>
      <c r="L40" s="15">
        <v>1</v>
      </c>
      <c r="M40" s="17" t="s">
        <v>956</v>
      </c>
      <c r="N40" s="15">
        <v>1</v>
      </c>
      <c r="O40" s="17" t="s">
        <v>956</v>
      </c>
      <c r="P40" s="246"/>
      <c r="Q40" s="16" t="s">
        <v>228</v>
      </c>
      <c r="R40" s="18"/>
      <c r="S40" s="16"/>
      <c r="T40" s="16"/>
      <c r="U40" s="16" t="s">
        <v>999</v>
      </c>
      <c r="V40" s="312">
        <v>0</v>
      </c>
      <c r="W40" s="15" t="s">
        <v>67</v>
      </c>
      <c r="X40" s="15" t="s">
        <v>67</v>
      </c>
      <c r="Y40" s="16"/>
      <c r="Z40" s="252"/>
      <c r="AA40" s="252"/>
      <c r="AB40" s="294">
        <f t="shared" si="0"/>
        <v>7207410</v>
      </c>
      <c r="AC40" s="16"/>
      <c r="AD40" s="18">
        <v>45840</v>
      </c>
      <c r="AE40" s="16"/>
      <c r="AF40" s="254" t="s">
        <v>934</v>
      </c>
      <c r="AG40" s="16"/>
      <c r="AH40" s="16"/>
      <c r="AI40" s="16"/>
      <c r="AJ40" s="16"/>
    </row>
    <row r="41" spans="2:36" ht="95.5" hidden="1" customHeight="1" x14ac:dyDescent="0.2">
      <c r="B41" s="71">
        <v>34</v>
      </c>
      <c r="C41" s="15">
        <v>2025</v>
      </c>
      <c r="D41" s="15" t="s">
        <v>1005</v>
      </c>
      <c r="E41" s="33">
        <v>10</v>
      </c>
      <c r="F41" s="15">
        <v>1</v>
      </c>
      <c r="G41" s="37" t="s">
        <v>9</v>
      </c>
      <c r="H41" s="37">
        <v>12.2</v>
      </c>
      <c r="I41" s="37">
        <v>1</v>
      </c>
      <c r="J41" s="17" t="s">
        <v>957</v>
      </c>
      <c r="K41" s="22" t="s">
        <v>1009</v>
      </c>
      <c r="L41" s="15">
        <v>1</v>
      </c>
      <c r="M41" s="22" t="s">
        <v>958</v>
      </c>
      <c r="N41" s="15">
        <v>1</v>
      </c>
      <c r="O41" s="17" t="s">
        <v>958</v>
      </c>
      <c r="P41" s="246"/>
      <c r="Q41" s="16" t="s">
        <v>228</v>
      </c>
      <c r="R41" s="16"/>
      <c r="S41" s="16"/>
      <c r="T41" s="16"/>
      <c r="U41" s="46" t="s">
        <v>959</v>
      </c>
      <c r="V41" s="310">
        <v>0</v>
      </c>
      <c r="W41" s="15" t="s">
        <v>67</v>
      </c>
      <c r="X41" s="15"/>
      <c r="Y41" s="16"/>
      <c r="Z41" s="252"/>
      <c r="AA41" s="252"/>
      <c r="AB41" s="294">
        <f t="shared" si="0"/>
        <v>7207410</v>
      </c>
      <c r="AC41" s="16"/>
      <c r="AD41" s="18">
        <v>45870</v>
      </c>
      <c r="AE41" s="16"/>
      <c r="AF41" s="16" t="s">
        <v>960</v>
      </c>
      <c r="AG41" s="16"/>
      <c r="AH41" s="16"/>
      <c r="AI41" s="16"/>
      <c r="AJ41" s="16"/>
    </row>
    <row r="42" spans="2:36" ht="57.5" hidden="1" customHeight="1" x14ac:dyDescent="0.2">
      <c r="B42" s="71">
        <v>35</v>
      </c>
      <c r="C42" s="15">
        <v>2025</v>
      </c>
      <c r="D42" s="15" t="s">
        <v>1005</v>
      </c>
      <c r="E42" s="33">
        <v>10</v>
      </c>
      <c r="F42" s="15">
        <v>1</v>
      </c>
      <c r="G42" s="37" t="s">
        <v>105</v>
      </c>
      <c r="H42" s="37">
        <v>3</v>
      </c>
      <c r="I42" s="37"/>
      <c r="J42" s="17" t="s">
        <v>966</v>
      </c>
      <c r="K42" s="22" t="s">
        <v>1027</v>
      </c>
      <c r="L42" s="15">
        <v>1</v>
      </c>
      <c r="M42" s="22" t="s">
        <v>967</v>
      </c>
      <c r="N42" s="15">
        <v>1</v>
      </c>
      <c r="O42" s="22" t="s">
        <v>967</v>
      </c>
      <c r="P42" s="246"/>
      <c r="Q42" s="16" t="s">
        <v>228</v>
      </c>
      <c r="R42" s="16"/>
      <c r="S42" s="16"/>
      <c r="T42" s="16"/>
      <c r="U42" s="46" t="s">
        <v>968</v>
      </c>
      <c r="V42" s="310">
        <v>0</v>
      </c>
      <c r="W42" s="15" t="s">
        <v>67</v>
      </c>
      <c r="X42" s="15"/>
      <c r="Y42" s="16"/>
      <c r="Z42" s="252"/>
      <c r="AA42" s="252"/>
      <c r="AB42" s="294">
        <f t="shared" si="0"/>
        <v>7207410</v>
      </c>
      <c r="AC42" s="16"/>
      <c r="AD42" s="18">
        <v>45846</v>
      </c>
      <c r="AE42" s="16"/>
      <c r="AF42" s="254" t="s">
        <v>969</v>
      </c>
      <c r="AG42" s="16"/>
      <c r="AH42" s="16"/>
      <c r="AI42" s="16"/>
      <c r="AJ42" s="16"/>
    </row>
    <row r="43" spans="2:36" ht="45.5" customHeight="1" x14ac:dyDescent="0.2">
      <c r="B43" s="71">
        <v>36</v>
      </c>
      <c r="C43" s="15">
        <v>2025</v>
      </c>
      <c r="D43" s="15">
        <v>4</v>
      </c>
      <c r="E43" s="15">
        <v>4</v>
      </c>
      <c r="F43" s="15"/>
      <c r="G43" s="15" t="s">
        <v>63</v>
      </c>
      <c r="H43" s="15">
        <v>0.8</v>
      </c>
      <c r="I43" s="15"/>
      <c r="J43" s="17" t="s">
        <v>978</v>
      </c>
      <c r="K43" s="22" t="s">
        <v>1041</v>
      </c>
      <c r="L43" s="15">
        <v>0</v>
      </c>
      <c r="M43" s="16"/>
      <c r="N43" s="15">
        <v>0</v>
      </c>
      <c r="O43" s="16"/>
      <c r="P43" s="246"/>
      <c r="Q43" s="16" t="s">
        <v>228</v>
      </c>
      <c r="R43" s="16"/>
      <c r="S43" s="16"/>
      <c r="T43" s="16"/>
      <c r="U43" s="16" t="s">
        <v>254</v>
      </c>
      <c r="V43" s="312">
        <v>0</v>
      </c>
      <c r="W43" s="15" t="s">
        <v>67</v>
      </c>
      <c r="X43" s="15"/>
      <c r="Y43" s="16"/>
      <c r="Z43" s="252"/>
      <c r="AA43" s="252"/>
      <c r="AB43" s="294">
        <f t="shared" si="0"/>
        <v>7207410</v>
      </c>
      <c r="AC43" s="16"/>
      <c r="AD43" s="18">
        <v>45896</v>
      </c>
      <c r="AE43" s="16"/>
      <c r="AF43" s="254" t="s">
        <v>979</v>
      </c>
      <c r="AG43" s="16"/>
      <c r="AH43" s="16"/>
      <c r="AI43" s="16"/>
      <c r="AJ43" s="16"/>
    </row>
    <row r="44" spans="2:36" ht="72" hidden="1" x14ac:dyDescent="0.2">
      <c r="B44" s="71">
        <v>37</v>
      </c>
      <c r="C44" s="15">
        <v>2025</v>
      </c>
      <c r="D44" s="15">
        <v>3</v>
      </c>
      <c r="E44" s="33">
        <v>3</v>
      </c>
      <c r="F44" s="15"/>
      <c r="G44" s="37" t="s">
        <v>9</v>
      </c>
      <c r="H44" s="37">
        <v>5.9</v>
      </c>
      <c r="I44" s="37">
        <v>0</v>
      </c>
      <c r="J44" s="17" t="s">
        <v>980</v>
      </c>
      <c r="K44" s="22" t="s">
        <v>1022</v>
      </c>
      <c r="L44" s="15">
        <v>0</v>
      </c>
      <c r="M44" s="16"/>
      <c r="N44" s="15">
        <v>1</v>
      </c>
      <c r="O44" s="22" t="s">
        <v>981</v>
      </c>
      <c r="P44" s="246"/>
      <c r="Q44" s="16" t="s">
        <v>228</v>
      </c>
      <c r="R44" s="16"/>
      <c r="S44" s="16"/>
      <c r="T44" s="16"/>
      <c r="U44" s="315" t="s">
        <v>1138</v>
      </c>
      <c r="V44" s="312">
        <v>0</v>
      </c>
      <c r="W44" s="15" t="s">
        <v>67</v>
      </c>
      <c r="X44" s="15"/>
      <c r="Y44" s="16"/>
      <c r="Z44" s="252"/>
      <c r="AA44" s="252"/>
      <c r="AB44" s="294">
        <f t="shared" si="0"/>
        <v>7207410</v>
      </c>
      <c r="AC44" s="16"/>
      <c r="AD44" s="18">
        <v>45839</v>
      </c>
      <c r="AE44" s="16"/>
      <c r="AF44" s="254" t="s">
        <v>982</v>
      </c>
      <c r="AG44" s="254"/>
      <c r="AH44" s="16"/>
      <c r="AI44" s="16"/>
      <c r="AJ44" s="16"/>
    </row>
    <row r="45" spans="2:36" ht="43.5" hidden="1" customHeight="1" x14ac:dyDescent="0.2">
      <c r="B45" s="71">
        <v>38</v>
      </c>
      <c r="C45" s="15">
        <v>2025</v>
      </c>
      <c r="D45" s="15">
        <v>2</v>
      </c>
      <c r="E45" s="15">
        <v>2</v>
      </c>
      <c r="F45" s="15"/>
      <c r="G45" s="15" t="s">
        <v>105</v>
      </c>
      <c r="H45" s="15">
        <v>3.4</v>
      </c>
      <c r="I45" s="15"/>
      <c r="J45" s="17" t="s">
        <v>983</v>
      </c>
      <c r="K45" s="22" t="s">
        <v>1044</v>
      </c>
      <c r="L45" s="15">
        <v>0</v>
      </c>
      <c r="M45" s="16"/>
      <c r="N45" s="15">
        <v>1</v>
      </c>
      <c r="O45" s="22" t="s">
        <v>984</v>
      </c>
      <c r="P45" s="246"/>
      <c r="Q45" s="16" t="s">
        <v>228</v>
      </c>
      <c r="R45" s="16"/>
      <c r="S45" s="16"/>
      <c r="T45" s="16"/>
      <c r="U45" s="315" t="s">
        <v>985</v>
      </c>
      <c r="V45" s="312">
        <v>0</v>
      </c>
      <c r="W45" s="15" t="s">
        <v>67</v>
      </c>
      <c r="X45" s="15"/>
      <c r="Y45" s="16"/>
      <c r="Z45" s="252"/>
      <c r="AA45" s="252"/>
      <c r="AB45" s="294">
        <f t="shared" si="0"/>
        <v>7207410</v>
      </c>
      <c r="AC45" s="16"/>
      <c r="AD45" s="18">
        <v>45896</v>
      </c>
      <c r="AE45" s="16"/>
      <c r="AF45" s="254" t="s">
        <v>986</v>
      </c>
      <c r="AG45" s="16"/>
      <c r="AH45" s="16"/>
      <c r="AI45" s="16"/>
      <c r="AJ45" s="16"/>
    </row>
    <row r="46" spans="2:36" ht="64.5" hidden="1" customHeight="1" x14ac:dyDescent="0.2">
      <c r="B46" s="71">
        <v>39</v>
      </c>
      <c r="C46" s="346">
        <v>2024</v>
      </c>
      <c r="D46" s="15">
        <v>1</v>
      </c>
      <c r="E46" s="15">
        <v>1</v>
      </c>
      <c r="F46" s="15"/>
      <c r="G46" s="15" t="s">
        <v>105</v>
      </c>
      <c r="H46" s="15">
        <v>2.6</v>
      </c>
      <c r="I46" s="15"/>
      <c r="J46" s="17" t="s">
        <v>1048</v>
      </c>
      <c r="K46" s="22" t="s">
        <v>1045</v>
      </c>
      <c r="L46" s="15">
        <v>1</v>
      </c>
      <c r="M46" s="22" t="s">
        <v>987</v>
      </c>
      <c r="N46" s="15">
        <v>1</v>
      </c>
      <c r="O46" s="22" t="s">
        <v>987</v>
      </c>
      <c r="P46" s="246"/>
      <c r="Q46" s="16" t="s">
        <v>228</v>
      </c>
      <c r="R46" s="16"/>
      <c r="S46" s="16"/>
      <c r="T46" s="16"/>
      <c r="U46" s="315" t="s">
        <v>988</v>
      </c>
      <c r="V46" s="41">
        <v>0</v>
      </c>
      <c r="W46" s="15" t="s">
        <v>67</v>
      </c>
      <c r="X46" s="15"/>
      <c r="Y46" s="16"/>
      <c r="Z46" s="252"/>
      <c r="AA46" s="252"/>
      <c r="AB46" s="16"/>
      <c r="AC46" s="16"/>
      <c r="AD46" s="18">
        <v>45656</v>
      </c>
      <c r="AE46" s="16"/>
      <c r="AF46" s="254" t="s">
        <v>989</v>
      </c>
      <c r="AG46" s="16"/>
      <c r="AH46" s="16"/>
      <c r="AI46" s="16"/>
      <c r="AJ46" s="16"/>
    </row>
    <row r="47" spans="2:36" ht="32" hidden="1" x14ac:dyDescent="0.2">
      <c r="B47" s="71">
        <v>40</v>
      </c>
      <c r="C47" s="346">
        <v>2024</v>
      </c>
      <c r="D47" s="349">
        <v>1</v>
      </c>
      <c r="E47" s="349">
        <v>1</v>
      </c>
      <c r="F47" s="346"/>
      <c r="G47" s="349" t="s">
        <v>105</v>
      </c>
      <c r="H47" s="349" t="s">
        <v>1047</v>
      </c>
      <c r="I47" s="349"/>
      <c r="J47" s="347" t="s">
        <v>990</v>
      </c>
      <c r="K47" s="22" t="s">
        <v>1046</v>
      </c>
      <c r="L47" s="15">
        <v>1</v>
      </c>
      <c r="M47" s="16"/>
      <c r="N47" s="15"/>
      <c r="O47" s="16"/>
      <c r="P47" s="246"/>
      <c r="Q47" s="16" t="s">
        <v>228</v>
      </c>
      <c r="R47" s="16"/>
      <c r="S47" s="16"/>
      <c r="T47" s="16"/>
      <c r="U47" s="315" t="s">
        <v>1003</v>
      </c>
      <c r="V47" s="41">
        <v>0</v>
      </c>
      <c r="W47" s="15" t="s">
        <v>67</v>
      </c>
      <c r="X47" s="15"/>
      <c r="Y47" s="16"/>
      <c r="Z47" s="252"/>
      <c r="AA47" s="252"/>
      <c r="AB47" s="16"/>
      <c r="AC47" s="16"/>
      <c r="AD47" s="18">
        <v>45547</v>
      </c>
      <c r="AE47" s="16"/>
      <c r="AF47" s="254" t="s">
        <v>1049</v>
      </c>
      <c r="AG47" s="16"/>
      <c r="AH47" s="16"/>
      <c r="AI47" s="254"/>
      <c r="AJ47" s="16"/>
    </row>
    <row r="48" spans="2:36" s="357" customFormat="1" ht="39" hidden="1" customHeight="1" x14ac:dyDescent="0.2">
      <c r="B48" s="71">
        <v>41</v>
      </c>
      <c r="C48" s="349">
        <v>2025</v>
      </c>
      <c r="D48" s="349">
        <v>1</v>
      </c>
      <c r="E48" s="349">
        <v>1</v>
      </c>
      <c r="F48" s="349"/>
      <c r="G48" s="349" t="s">
        <v>401</v>
      </c>
      <c r="H48" s="349">
        <v>0.2</v>
      </c>
      <c r="I48" s="349"/>
      <c r="J48" s="347" t="s">
        <v>1067</v>
      </c>
      <c r="K48" s="350" t="s">
        <v>1054</v>
      </c>
      <c r="L48" s="349">
        <v>0</v>
      </c>
      <c r="M48" s="351"/>
      <c r="N48" s="349">
        <v>1</v>
      </c>
      <c r="O48" s="350" t="s">
        <v>1055</v>
      </c>
      <c r="P48" s="352"/>
      <c r="Q48" s="16" t="s">
        <v>228</v>
      </c>
      <c r="R48" s="351"/>
      <c r="S48" s="351"/>
      <c r="T48" s="351"/>
      <c r="U48" s="353" t="s">
        <v>1056</v>
      </c>
      <c r="V48" s="41">
        <v>0</v>
      </c>
      <c r="W48" s="15" t="s">
        <v>67</v>
      </c>
      <c r="X48" s="349"/>
      <c r="Y48" s="351"/>
      <c r="Z48" s="86"/>
      <c r="AA48" s="86"/>
      <c r="AB48" s="351"/>
      <c r="AC48" s="351"/>
      <c r="AD48" s="355">
        <v>45722</v>
      </c>
      <c r="AE48" s="351"/>
      <c r="AF48" s="239" t="s">
        <v>1057</v>
      </c>
      <c r="AG48" s="351"/>
      <c r="AH48" s="351"/>
      <c r="AI48" s="239" t="s">
        <v>1057</v>
      </c>
      <c r="AJ48" s="351"/>
    </row>
    <row r="49" spans="1:36" s="357" customFormat="1" ht="61.5" hidden="1" customHeight="1" x14ac:dyDescent="0.2">
      <c r="B49" s="372">
        <v>42</v>
      </c>
      <c r="C49" s="349">
        <v>2025</v>
      </c>
      <c r="D49" s="349">
        <v>2</v>
      </c>
      <c r="E49" s="349">
        <v>2</v>
      </c>
      <c r="F49" s="349"/>
      <c r="G49" s="349" t="s">
        <v>9</v>
      </c>
      <c r="H49" s="349">
        <v>26.2</v>
      </c>
      <c r="I49" s="349">
        <v>1</v>
      </c>
      <c r="J49" s="347" t="s">
        <v>1060</v>
      </c>
      <c r="K49" s="350" t="s">
        <v>1059</v>
      </c>
      <c r="L49" s="349">
        <v>1</v>
      </c>
      <c r="M49" s="350" t="s">
        <v>1062</v>
      </c>
      <c r="N49" s="349"/>
      <c r="O49" s="351"/>
      <c r="P49" s="352"/>
      <c r="Q49" s="16" t="s">
        <v>228</v>
      </c>
      <c r="R49" s="351"/>
      <c r="S49" s="351"/>
      <c r="T49" s="351"/>
      <c r="U49" s="353" t="s">
        <v>318</v>
      </c>
      <c r="V49" s="41">
        <v>0</v>
      </c>
      <c r="W49" s="15" t="s">
        <v>67</v>
      </c>
      <c r="X49" s="349"/>
      <c r="Y49" s="351"/>
      <c r="Z49" s="86"/>
      <c r="AA49" s="86"/>
      <c r="AB49" s="351"/>
      <c r="AC49" s="351"/>
      <c r="AD49" s="355">
        <v>45849</v>
      </c>
      <c r="AE49" s="351"/>
      <c r="AF49" s="253" t="s">
        <v>1061</v>
      </c>
      <c r="AG49" s="351"/>
      <c r="AH49" s="351"/>
      <c r="AI49" s="356"/>
      <c r="AJ49" s="351"/>
    </row>
    <row r="50" spans="1:36" s="357" customFormat="1" ht="63" hidden="1" customHeight="1" x14ac:dyDescent="0.2">
      <c r="B50" s="372">
        <v>43</v>
      </c>
      <c r="C50" s="361">
        <v>2025</v>
      </c>
      <c r="D50" s="361">
        <v>2</v>
      </c>
      <c r="E50" s="361">
        <v>2</v>
      </c>
      <c r="F50" s="361"/>
      <c r="G50" s="383" t="s">
        <v>105</v>
      </c>
      <c r="H50" s="361">
        <v>2.8</v>
      </c>
      <c r="I50" s="361"/>
      <c r="J50" s="363" t="s">
        <v>1063</v>
      </c>
      <c r="K50" s="364" t="s">
        <v>1064</v>
      </c>
      <c r="L50" s="361">
        <v>0</v>
      </c>
      <c r="M50" s="365"/>
      <c r="N50" s="361">
        <v>1</v>
      </c>
      <c r="O50" s="363" t="s">
        <v>1066</v>
      </c>
      <c r="P50" s="362"/>
      <c r="Q50" s="366" t="s">
        <v>228</v>
      </c>
      <c r="R50" s="365"/>
      <c r="S50" s="365"/>
      <c r="T50" s="365"/>
      <c r="U50" s="367" t="s">
        <v>1065</v>
      </c>
      <c r="V50" s="368">
        <v>0</v>
      </c>
      <c r="W50" s="361" t="s">
        <v>67</v>
      </c>
      <c r="X50" s="361"/>
      <c r="Y50" s="365"/>
      <c r="Z50" s="369"/>
      <c r="AA50" s="369"/>
      <c r="AB50" s="365"/>
      <c r="AC50" s="365"/>
      <c r="AD50" s="370">
        <v>45932</v>
      </c>
      <c r="AE50" s="365"/>
      <c r="AF50" s="307" t="s">
        <v>1071</v>
      </c>
      <c r="AG50" s="351"/>
      <c r="AH50" s="351"/>
      <c r="AI50" s="356"/>
      <c r="AJ50" s="351"/>
    </row>
    <row r="51" spans="1:36" s="357" customFormat="1" ht="57.5" hidden="1" customHeight="1" x14ac:dyDescent="0.2">
      <c r="B51" s="372">
        <v>44</v>
      </c>
      <c r="C51" s="349">
        <v>2025</v>
      </c>
      <c r="D51" s="37">
        <v>3</v>
      </c>
      <c r="E51" s="37">
        <v>3</v>
      </c>
      <c r="F51" s="37"/>
      <c r="G51" s="15" t="s">
        <v>105</v>
      </c>
      <c r="H51" s="15">
        <v>3.3</v>
      </c>
      <c r="I51" s="15"/>
      <c r="J51" s="17" t="s">
        <v>1068</v>
      </c>
      <c r="K51" s="345" t="s">
        <v>1069</v>
      </c>
      <c r="L51" s="15">
        <v>1</v>
      </c>
      <c r="M51" s="22" t="s">
        <v>1070</v>
      </c>
      <c r="N51" s="15">
        <v>1</v>
      </c>
      <c r="O51" s="22" t="s">
        <v>1070</v>
      </c>
      <c r="P51" s="246"/>
      <c r="Q51" s="16" t="s">
        <v>228</v>
      </c>
      <c r="R51" s="16"/>
      <c r="S51" s="16"/>
      <c r="T51" s="16"/>
      <c r="U51" s="315" t="s">
        <v>263</v>
      </c>
      <c r="V51" s="15">
        <v>0</v>
      </c>
      <c r="W51" s="361" t="s">
        <v>67</v>
      </c>
      <c r="X51" s="15">
        <v>0</v>
      </c>
      <c r="Y51" s="16"/>
      <c r="Z51" s="45"/>
      <c r="AA51" s="45"/>
      <c r="AB51" s="16"/>
      <c r="AC51" s="16"/>
      <c r="AD51" s="18">
        <v>45924</v>
      </c>
      <c r="AE51" s="16"/>
      <c r="AF51" s="85" t="s">
        <v>1072</v>
      </c>
      <c r="AG51" s="351"/>
      <c r="AH51" s="351"/>
      <c r="AI51" s="254"/>
      <c r="AJ51" s="351"/>
    </row>
    <row r="52" spans="1:36" s="357" customFormat="1" ht="61" hidden="1" customHeight="1" x14ac:dyDescent="0.2">
      <c r="B52" s="372">
        <v>45</v>
      </c>
      <c r="C52" s="349">
        <v>2025</v>
      </c>
      <c r="D52" s="349">
        <v>2</v>
      </c>
      <c r="E52" s="349">
        <v>2</v>
      </c>
      <c r="F52" s="349"/>
      <c r="G52" s="349" t="s">
        <v>401</v>
      </c>
      <c r="H52" s="349">
        <v>0</v>
      </c>
      <c r="I52" s="349"/>
      <c r="J52" s="347" t="s">
        <v>1073</v>
      </c>
      <c r="K52" s="350" t="s">
        <v>1074</v>
      </c>
      <c r="L52" s="349">
        <v>1</v>
      </c>
      <c r="M52" s="350" t="s">
        <v>1075</v>
      </c>
      <c r="N52" s="349">
        <v>0</v>
      </c>
      <c r="O52" s="351"/>
      <c r="P52" s="352"/>
      <c r="Q52" s="16" t="s">
        <v>228</v>
      </c>
      <c r="R52" s="351"/>
      <c r="S52" s="351"/>
      <c r="T52" s="351"/>
      <c r="U52" s="353" t="s">
        <v>1094</v>
      </c>
      <c r="V52" s="354">
        <v>0</v>
      </c>
      <c r="W52" s="361" t="s">
        <v>67</v>
      </c>
      <c r="X52" s="349">
        <v>0</v>
      </c>
      <c r="Y52" s="351"/>
      <c r="Z52" s="86"/>
      <c r="AA52" s="86"/>
      <c r="AB52" s="351"/>
      <c r="AC52" s="351"/>
      <c r="AD52" s="355">
        <v>45930</v>
      </c>
      <c r="AE52" s="351"/>
      <c r="AF52" s="254" t="s">
        <v>1076</v>
      </c>
      <c r="AG52" s="351"/>
      <c r="AH52" s="351"/>
      <c r="AI52" s="254"/>
      <c r="AJ52" s="351"/>
    </row>
    <row r="53" spans="1:36" s="357" customFormat="1" ht="48" x14ac:dyDescent="0.2">
      <c r="B53" s="372">
        <v>46</v>
      </c>
      <c r="C53" s="349">
        <v>2025</v>
      </c>
      <c r="D53" s="349">
        <v>4</v>
      </c>
      <c r="E53" s="349">
        <v>4</v>
      </c>
      <c r="F53" s="349"/>
      <c r="G53" s="15" t="s">
        <v>105</v>
      </c>
      <c r="H53" s="15">
        <v>2.6</v>
      </c>
      <c r="I53" s="15"/>
      <c r="J53" s="347" t="s">
        <v>1077</v>
      </c>
      <c r="K53" s="350" t="s">
        <v>1078</v>
      </c>
      <c r="L53" s="349">
        <v>0</v>
      </c>
      <c r="N53" s="349">
        <v>1</v>
      </c>
      <c r="O53" s="350" t="s">
        <v>1079</v>
      </c>
      <c r="P53" s="352"/>
      <c r="Q53" s="16" t="s">
        <v>228</v>
      </c>
      <c r="R53" s="351"/>
      <c r="S53" s="351"/>
      <c r="T53" s="351"/>
      <c r="U53" s="353" t="s">
        <v>988</v>
      </c>
      <c r="V53" s="349"/>
      <c r="W53" s="361" t="s">
        <v>67</v>
      </c>
      <c r="X53" s="349"/>
      <c r="Y53" s="351"/>
      <c r="Z53" s="86"/>
      <c r="AA53" s="86"/>
      <c r="AB53" s="351"/>
      <c r="AC53" s="351"/>
      <c r="AD53" s="355">
        <v>45929</v>
      </c>
      <c r="AE53" s="351"/>
      <c r="AF53" s="254" t="s">
        <v>1080</v>
      </c>
      <c r="AG53" s="351"/>
      <c r="AH53" s="351"/>
      <c r="AI53" s="254"/>
      <c r="AJ53" s="351"/>
    </row>
    <row r="54" spans="1:36" s="357" customFormat="1" ht="89.5" hidden="1" customHeight="1" x14ac:dyDescent="0.2">
      <c r="B54" s="372">
        <v>47</v>
      </c>
      <c r="C54" s="349">
        <v>2025</v>
      </c>
      <c r="D54" s="349" t="s">
        <v>1086</v>
      </c>
      <c r="E54" s="349">
        <v>10</v>
      </c>
      <c r="F54" s="349">
        <v>1</v>
      </c>
      <c r="G54" s="349" t="s">
        <v>401</v>
      </c>
      <c r="H54" s="349">
        <v>1.4</v>
      </c>
      <c r="I54" s="349"/>
      <c r="J54" s="347" t="s">
        <v>1081</v>
      </c>
      <c r="K54" s="350" t="s">
        <v>1082</v>
      </c>
      <c r="L54" s="349">
        <v>1</v>
      </c>
      <c r="M54" s="350" t="s">
        <v>1083</v>
      </c>
      <c r="N54" s="349">
        <v>1</v>
      </c>
      <c r="O54" s="347" t="s">
        <v>1083</v>
      </c>
      <c r="P54" s="352"/>
      <c r="Q54" s="351" t="s">
        <v>228</v>
      </c>
      <c r="R54" s="351"/>
      <c r="S54" s="351"/>
      <c r="T54" s="351"/>
      <c r="U54" s="353" t="s">
        <v>1084</v>
      </c>
      <c r="V54" s="349">
        <v>0</v>
      </c>
      <c r="W54" s="361" t="s">
        <v>67</v>
      </c>
      <c r="X54" s="349">
        <v>0</v>
      </c>
      <c r="Y54" s="351"/>
      <c r="Z54" s="86"/>
      <c r="AA54" s="86"/>
      <c r="AB54" s="351"/>
      <c r="AC54" s="351"/>
      <c r="AD54" s="355">
        <v>45929</v>
      </c>
      <c r="AE54" s="351"/>
      <c r="AF54" s="254" t="s">
        <v>1085</v>
      </c>
      <c r="AG54" s="351"/>
      <c r="AH54" s="351"/>
      <c r="AI54" s="254"/>
      <c r="AJ54" s="351"/>
    </row>
    <row r="55" spans="1:36" s="357" customFormat="1" ht="83.5" hidden="1" customHeight="1" x14ac:dyDescent="0.2">
      <c r="B55" s="372">
        <v>48</v>
      </c>
      <c r="C55" s="349">
        <v>2025</v>
      </c>
      <c r="D55" s="349" t="s">
        <v>1097</v>
      </c>
      <c r="E55" s="349">
        <v>10</v>
      </c>
      <c r="F55" s="349">
        <v>1</v>
      </c>
      <c r="G55" s="349" t="s">
        <v>9</v>
      </c>
      <c r="H55" s="349">
        <v>8.9</v>
      </c>
      <c r="I55" s="349">
        <v>1</v>
      </c>
      <c r="J55" s="347" t="s">
        <v>1095</v>
      </c>
      <c r="K55" s="350" t="s">
        <v>1096</v>
      </c>
      <c r="L55" s="349">
        <v>1</v>
      </c>
      <c r="M55" s="350" t="s">
        <v>1100</v>
      </c>
      <c r="N55" s="349">
        <v>1</v>
      </c>
      <c r="O55" s="350" t="s">
        <v>1100</v>
      </c>
      <c r="P55" s="352"/>
      <c r="Q55" s="351" t="s">
        <v>228</v>
      </c>
      <c r="R55" s="351"/>
      <c r="S55" s="351">
        <v>1252982911</v>
      </c>
      <c r="T55" s="355">
        <v>45917</v>
      </c>
      <c r="U55" s="353" t="s">
        <v>1099</v>
      </c>
      <c r="V55" s="354">
        <v>1</v>
      </c>
      <c r="W55" s="349" t="s">
        <v>971</v>
      </c>
      <c r="X55" s="349" t="s">
        <v>1116</v>
      </c>
      <c r="Y55" s="351" t="s">
        <v>1115</v>
      </c>
      <c r="Z55" s="63">
        <v>2684132</v>
      </c>
      <c r="AA55" s="86"/>
      <c r="AB55" s="351"/>
      <c r="AC55" s="351"/>
      <c r="AD55" s="355">
        <v>45938</v>
      </c>
      <c r="AE55" s="351"/>
      <c r="AF55" s="253" t="s">
        <v>1098</v>
      </c>
      <c r="AG55" s="351"/>
      <c r="AH55" s="351"/>
      <c r="AI55" s="351"/>
      <c r="AJ55" s="351"/>
    </row>
    <row r="56" spans="1:36" s="357" customFormat="1" ht="72.5" hidden="1" customHeight="1" x14ac:dyDescent="0.2">
      <c r="B56" s="372">
        <v>49</v>
      </c>
      <c r="C56" s="349">
        <v>2024</v>
      </c>
      <c r="D56" s="349">
        <v>3</v>
      </c>
      <c r="E56" s="349">
        <v>3</v>
      </c>
      <c r="F56" s="349"/>
      <c r="G56" s="349" t="s">
        <v>9</v>
      </c>
      <c r="H56" s="349">
        <v>10.1</v>
      </c>
      <c r="I56" s="349">
        <v>1</v>
      </c>
      <c r="J56" s="347" t="s">
        <v>1203</v>
      </c>
      <c r="K56" s="350" t="s">
        <v>1154</v>
      </c>
      <c r="L56" s="349">
        <v>1</v>
      </c>
      <c r="M56" s="350" t="s">
        <v>1155</v>
      </c>
      <c r="N56" s="349">
        <v>1</v>
      </c>
      <c r="O56" s="350" t="s">
        <v>1156</v>
      </c>
      <c r="P56" s="352"/>
      <c r="Q56" s="351" t="s">
        <v>228</v>
      </c>
      <c r="R56" s="351"/>
      <c r="S56" s="351"/>
      <c r="T56" s="355"/>
      <c r="U56" s="353" t="s">
        <v>1157</v>
      </c>
      <c r="V56" s="354"/>
      <c r="W56" s="349" t="s">
        <v>67</v>
      </c>
      <c r="X56" s="349"/>
      <c r="Y56" s="351"/>
      <c r="Z56" s="63"/>
      <c r="AA56" s="86"/>
      <c r="AB56" s="351"/>
      <c r="AC56" s="351"/>
      <c r="AD56" s="355">
        <v>45624</v>
      </c>
      <c r="AE56" s="351"/>
      <c r="AF56" s="85" t="s">
        <v>1158</v>
      </c>
      <c r="AG56" s="351"/>
      <c r="AH56" s="351"/>
      <c r="AI56" s="351"/>
      <c r="AJ56" s="351"/>
    </row>
    <row r="57" spans="1:36" s="357" customFormat="1" ht="31" hidden="1" customHeight="1" x14ac:dyDescent="0.2">
      <c r="A57" s="357" t="s">
        <v>1169</v>
      </c>
      <c r="B57" s="372">
        <v>50</v>
      </c>
      <c r="C57" s="349">
        <v>2025</v>
      </c>
      <c r="D57" s="349">
        <v>3</v>
      </c>
      <c r="E57" s="349">
        <v>3</v>
      </c>
      <c r="F57" s="349"/>
      <c r="G57" s="349" t="s">
        <v>105</v>
      </c>
      <c r="H57" s="349">
        <v>3.9</v>
      </c>
      <c r="I57" s="349"/>
      <c r="J57" s="347" t="s">
        <v>1161</v>
      </c>
      <c r="K57" s="350" t="s">
        <v>1162</v>
      </c>
      <c r="L57" s="349">
        <v>0</v>
      </c>
      <c r="M57" s="350"/>
      <c r="N57" s="349">
        <v>1</v>
      </c>
      <c r="O57" s="350" t="s">
        <v>1163</v>
      </c>
      <c r="P57" s="352"/>
      <c r="Q57" s="351" t="s">
        <v>228</v>
      </c>
      <c r="R57" s="351"/>
      <c r="S57" s="351"/>
      <c r="T57" s="355"/>
      <c r="U57" s="353" t="s">
        <v>1164</v>
      </c>
      <c r="V57" s="354"/>
      <c r="W57" s="349" t="s">
        <v>67</v>
      </c>
      <c r="X57" s="349"/>
      <c r="Y57" s="351"/>
      <c r="Z57" s="63"/>
      <c r="AA57" s="86"/>
      <c r="AB57" s="351"/>
      <c r="AC57" s="351"/>
      <c r="AD57" s="355">
        <v>45727</v>
      </c>
      <c r="AE57" s="351"/>
      <c r="AF57" s="90" t="s">
        <v>1168</v>
      </c>
      <c r="AG57" s="351"/>
      <c r="AH57" s="351"/>
      <c r="AI57" s="351"/>
      <c r="AJ57" s="351"/>
    </row>
    <row r="58" spans="1:36" s="357" customFormat="1" ht="64.5" hidden="1" customHeight="1" x14ac:dyDescent="0.2">
      <c r="B58" s="372">
        <v>51</v>
      </c>
      <c r="C58" s="349">
        <v>2025</v>
      </c>
      <c r="D58" s="349">
        <v>2</v>
      </c>
      <c r="E58" s="349">
        <v>2</v>
      </c>
      <c r="F58" s="349"/>
      <c r="G58" s="15" t="s">
        <v>63</v>
      </c>
      <c r="H58" s="15">
        <v>0.8</v>
      </c>
      <c r="I58" s="349"/>
      <c r="J58" s="347" t="s">
        <v>1228</v>
      </c>
      <c r="K58" s="350" t="s">
        <v>1165</v>
      </c>
      <c r="L58" s="349">
        <v>0</v>
      </c>
      <c r="M58" s="350"/>
      <c r="N58" s="349">
        <v>1</v>
      </c>
      <c r="O58" s="350" t="s">
        <v>1166</v>
      </c>
      <c r="P58" s="352"/>
      <c r="Q58" s="351" t="s">
        <v>228</v>
      </c>
      <c r="R58" s="351"/>
      <c r="S58" s="351"/>
      <c r="T58" s="355"/>
      <c r="U58" s="353" t="s">
        <v>254</v>
      </c>
      <c r="V58" s="354"/>
      <c r="W58" s="349" t="s">
        <v>67</v>
      </c>
      <c r="X58" s="349"/>
      <c r="Y58" s="351"/>
      <c r="Z58" s="63"/>
      <c r="AA58" s="86"/>
      <c r="AB58" s="351"/>
      <c r="AC58" s="351"/>
      <c r="AD58" s="355">
        <v>45757</v>
      </c>
      <c r="AE58" s="351"/>
      <c r="AF58" s="85" t="s">
        <v>1167</v>
      </c>
      <c r="AG58" s="351"/>
      <c r="AH58" s="351"/>
      <c r="AI58" s="351"/>
      <c r="AJ58" s="351"/>
    </row>
    <row r="59" spans="1:36" s="357" customFormat="1" ht="63" hidden="1" customHeight="1" x14ac:dyDescent="0.2">
      <c r="B59" s="372">
        <v>52</v>
      </c>
      <c r="C59" s="349">
        <v>2025</v>
      </c>
      <c r="D59" s="349">
        <v>2</v>
      </c>
      <c r="E59" s="349">
        <v>2</v>
      </c>
      <c r="F59" s="349"/>
      <c r="G59" s="349" t="s">
        <v>105</v>
      </c>
      <c r="H59" s="349">
        <v>2.2000000000000002</v>
      </c>
      <c r="I59" s="349"/>
      <c r="J59" s="347" t="s">
        <v>1170</v>
      </c>
      <c r="K59" s="350" t="s">
        <v>1172</v>
      </c>
      <c r="L59" s="349">
        <v>1</v>
      </c>
      <c r="M59" s="350" t="s">
        <v>1171</v>
      </c>
      <c r="N59" s="349">
        <v>0</v>
      </c>
      <c r="O59" s="350"/>
      <c r="P59" s="352"/>
      <c r="Q59" s="351" t="s">
        <v>228</v>
      </c>
      <c r="R59" s="351"/>
      <c r="S59" s="351"/>
      <c r="T59" s="355"/>
      <c r="U59" s="353" t="s">
        <v>1173</v>
      </c>
      <c r="V59" s="354"/>
      <c r="W59" s="349" t="s">
        <v>67</v>
      </c>
      <c r="X59" s="349"/>
      <c r="Y59" s="351"/>
      <c r="Z59" s="63"/>
      <c r="AA59" s="86"/>
      <c r="AB59" s="351"/>
      <c r="AC59" s="351"/>
      <c r="AD59" s="355">
        <v>45695</v>
      </c>
      <c r="AE59" s="351"/>
      <c r="AF59" s="85" t="s">
        <v>1174</v>
      </c>
      <c r="AG59" s="351"/>
      <c r="AH59" s="351"/>
      <c r="AI59" s="351"/>
      <c r="AJ59" s="351"/>
    </row>
    <row r="60" spans="1:36" s="357" customFormat="1" ht="52" hidden="1" customHeight="1" x14ac:dyDescent="0.2">
      <c r="A60" s="357" t="s">
        <v>1169</v>
      </c>
      <c r="B60" s="372">
        <v>53</v>
      </c>
      <c r="C60" s="349">
        <v>2025</v>
      </c>
      <c r="D60" s="349">
        <v>2</v>
      </c>
      <c r="E60" s="349">
        <v>2</v>
      </c>
      <c r="F60" s="349"/>
      <c r="G60" s="349" t="s">
        <v>9</v>
      </c>
      <c r="H60" s="349">
        <v>5.3</v>
      </c>
      <c r="I60" s="349"/>
      <c r="J60" s="347" t="s">
        <v>1231</v>
      </c>
      <c r="K60" s="350" t="s">
        <v>1175</v>
      </c>
      <c r="L60" s="349">
        <v>1</v>
      </c>
      <c r="M60" s="350" t="s">
        <v>1177</v>
      </c>
      <c r="N60" s="349">
        <v>0</v>
      </c>
      <c r="O60" s="350"/>
      <c r="P60" s="352"/>
      <c r="Q60" s="351" t="s">
        <v>228</v>
      </c>
      <c r="R60" s="351"/>
      <c r="S60" s="351"/>
      <c r="T60" s="355"/>
      <c r="U60" s="353" t="s">
        <v>1179</v>
      </c>
      <c r="V60" s="354"/>
      <c r="W60" s="349" t="s">
        <v>67</v>
      </c>
      <c r="X60" s="349"/>
      <c r="Y60" s="351"/>
      <c r="Z60" s="63"/>
      <c r="AA60" s="86"/>
      <c r="AB60" s="351"/>
      <c r="AC60" s="351"/>
      <c r="AD60" s="355">
        <v>45736</v>
      </c>
      <c r="AE60" s="351"/>
      <c r="AF60" s="85" t="s">
        <v>1176</v>
      </c>
      <c r="AG60" s="351"/>
      <c r="AH60" s="351"/>
      <c r="AI60" s="351"/>
      <c r="AJ60" s="351"/>
    </row>
    <row r="61" spans="1:36" s="357" customFormat="1" ht="46" hidden="1" customHeight="1" x14ac:dyDescent="0.2">
      <c r="A61" s="357" t="s">
        <v>1229</v>
      </c>
      <c r="B61" s="372">
        <v>54</v>
      </c>
      <c r="C61" s="349">
        <v>2025</v>
      </c>
      <c r="D61" s="349">
        <v>2</v>
      </c>
      <c r="E61" s="349">
        <v>2</v>
      </c>
      <c r="F61" s="349"/>
      <c r="G61" s="413" t="s">
        <v>9</v>
      </c>
      <c r="H61" s="413">
        <v>8.1</v>
      </c>
      <c r="I61" s="413">
        <v>1</v>
      </c>
      <c r="J61" s="347" t="s">
        <v>1230</v>
      </c>
      <c r="K61" s="350" t="s">
        <v>1178</v>
      </c>
      <c r="L61" s="349">
        <v>1</v>
      </c>
      <c r="M61" s="350" t="s">
        <v>1181</v>
      </c>
      <c r="N61" s="349">
        <v>0</v>
      </c>
      <c r="O61" s="350"/>
      <c r="P61" s="352"/>
      <c r="Q61" s="351" t="s">
        <v>228</v>
      </c>
      <c r="R61" s="351"/>
      <c r="S61" s="351"/>
      <c r="T61" s="355"/>
      <c r="U61" s="315" t="s">
        <v>1137</v>
      </c>
      <c r="V61" s="354"/>
      <c r="W61" s="349" t="s">
        <v>67</v>
      </c>
      <c r="X61" s="349"/>
      <c r="Y61" s="351"/>
      <c r="Z61" s="63"/>
      <c r="AA61" s="86"/>
      <c r="AB61" s="351"/>
      <c r="AC61" s="351"/>
      <c r="AD61" s="355">
        <v>45728</v>
      </c>
      <c r="AE61" s="351"/>
      <c r="AF61" s="85" t="s">
        <v>1180</v>
      </c>
      <c r="AG61" s="351"/>
      <c r="AH61" s="351"/>
      <c r="AI61" s="351"/>
      <c r="AJ61" s="351"/>
    </row>
    <row r="62" spans="1:36" s="357" customFormat="1" ht="63.5" hidden="1" customHeight="1" x14ac:dyDescent="0.2">
      <c r="A62" s="357" t="s">
        <v>1229</v>
      </c>
      <c r="B62" s="372">
        <v>55</v>
      </c>
      <c r="C62" s="349">
        <v>2025</v>
      </c>
      <c r="D62" s="349">
        <v>2</v>
      </c>
      <c r="E62" s="349">
        <v>2</v>
      </c>
      <c r="F62" s="349"/>
      <c r="G62" s="413" t="s">
        <v>9</v>
      </c>
      <c r="H62" s="349">
        <v>2.6</v>
      </c>
      <c r="I62" s="349"/>
      <c r="J62" s="347" t="s">
        <v>1182</v>
      </c>
      <c r="K62" s="350" t="s">
        <v>1183</v>
      </c>
      <c r="L62" s="349">
        <v>1</v>
      </c>
      <c r="M62" s="350" t="s">
        <v>1184</v>
      </c>
      <c r="N62" s="349">
        <v>0</v>
      </c>
      <c r="O62" s="350"/>
      <c r="P62" s="352"/>
      <c r="Q62" s="351" t="s">
        <v>228</v>
      </c>
      <c r="R62" s="351"/>
      <c r="S62" s="351"/>
      <c r="T62" s="355"/>
      <c r="U62" s="353" t="s">
        <v>1185</v>
      </c>
      <c r="V62" s="354"/>
      <c r="W62" s="349" t="s">
        <v>67</v>
      </c>
      <c r="X62" s="349"/>
      <c r="Y62" s="351"/>
      <c r="Z62" s="63"/>
      <c r="AA62" s="86"/>
      <c r="AB62" s="351"/>
      <c r="AC62" s="351"/>
      <c r="AD62" s="355">
        <v>45904</v>
      </c>
      <c r="AE62" s="351"/>
      <c r="AF62" s="85" t="s">
        <v>1186</v>
      </c>
      <c r="AG62" s="351"/>
      <c r="AH62" s="351"/>
      <c r="AI62" s="351"/>
      <c r="AJ62" s="351"/>
    </row>
    <row r="63" spans="1:36" s="357" customFormat="1" ht="63.5" hidden="1" customHeight="1" x14ac:dyDescent="0.2">
      <c r="A63" s="357" t="s">
        <v>1229</v>
      </c>
      <c r="B63" s="372">
        <v>56</v>
      </c>
      <c r="C63" s="349">
        <v>2025</v>
      </c>
      <c r="D63" s="349">
        <v>2</v>
      </c>
      <c r="E63" s="349">
        <v>2</v>
      </c>
      <c r="F63" s="349"/>
      <c r="G63" s="413" t="s">
        <v>9</v>
      </c>
      <c r="H63" s="349">
        <v>2.6</v>
      </c>
      <c r="I63" s="349"/>
      <c r="J63" s="347" t="s">
        <v>1191</v>
      </c>
      <c r="K63" s="350" t="s">
        <v>1192</v>
      </c>
      <c r="L63" s="349">
        <v>1</v>
      </c>
      <c r="M63" s="350" t="s">
        <v>1193</v>
      </c>
      <c r="N63" s="349">
        <v>1</v>
      </c>
      <c r="O63" s="350" t="s">
        <v>1193</v>
      </c>
      <c r="P63" s="352"/>
      <c r="Q63" s="351" t="s">
        <v>228</v>
      </c>
      <c r="R63" s="351"/>
      <c r="S63" s="351"/>
      <c r="T63" s="355"/>
      <c r="U63" s="353" t="s">
        <v>1185</v>
      </c>
      <c r="V63" s="354"/>
      <c r="W63" s="349" t="s">
        <v>67</v>
      </c>
      <c r="X63" s="349"/>
      <c r="Y63" s="351"/>
      <c r="Z63" s="63"/>
      <c r="AA63" s="86"/>
      <c r="AB63" s="351"/>
      <c r="AC63" s="351"/>
      <c r="AD63" s="355">
        <v>45709</v>
      </c>
      <c r="AE63" s="351"/>
      <c r="AF63" s="85" t="s">
        <v>1194</v>
      </c>
      <c r="AG63" s="351"/>
      <c r="AH63" s="351"/>
      <c r="AI63" s="351"/>
      <c r="AJ63" s="351"/>
    </row>
    <row r="64" spans="1:36" s="357" customFormat="1" ht="58" hidden="1" customHeight="1" x14ac:dyDescent="0.2">
      <c r="B64" s="372">
        <v>57</v>
      </c>
      <c r="C64" s="349">
        <v>2025</v>
      </c>
      <c r="D64" s="349">
        <v>2</v>
      </c>
      <c r="E64" s="349">
        <v>2</v>
      </c>
      <c r="F64" s="349"/>
      <c r="G64" s="413" t="s">
        <v>9</v>
      </c>
      <c r="H64" s="349">
        <v>5.8</v>
      </c>
      <c r="I64" s="349"/>
      <c r="J64" s="347" t="s">
        <v>1227</v>
      </c>
      <c r="K64" s="350" t="s">
        <v>1190</v>
      </c>
      <c r="L64" s="349">
        <v>1</v>
      </c>
      <c r="M64" s="350" t="s">
        <v>1189</v>
      </c>
      <c r="N64" s="349">
        <v>1</v>
      </c>
      <c r="O64" s="350" t="s">
        <v>1189</v>
      </c>
      <c r="P64" s="352"/>
      <c r="Q64" s="351" t="s">
        <v>228</v>
      </c>
      <c r="R64" s="351"/>
      <c r="S64" s="351"/>
      <c r="T64" s="355"/>
      <c r="U64" s="409" t="s">
        <v>1188</v>
      </c>
      <c r="V64" s="354"/>
      <c r="W64" s="349" t="s">
        <v>67</v>
      </c>
      <c r="X64" s="349"/>
      <c r="Y64" s="351"/>
      <c r="Z64" s="63"/>
      <c r="AA64" s="86"/>
      <c r="AB64" s="351"/>
      <c r="AC64" s="351"/>
      <c r="AD64" s="355">
        <v>45847</v>
      </c>
      <c r="AE64" s="351"/>
      <c r="AF64" s="85" t="s">
        <v>1187</v>
      </c>
      <c r="AG64" s="351"/>
      <c r="AH64" s="351"/>
      <c r="AI64" s="351"/>
      <c r="AJ64" s="351"/>
    </row>
    <row r="65" spans="1:36" s="357" customFormat="1" ht="69" hidden="1" customHeight="1" x14ac:dyDescent="0.2">
      <c r="A65" s="357" t="s">
        <v>1169</v>
      </c>
      <c r="B65" s="372">
        <v>58</v>
      </c>
      <c r="C65" s="349">
        <v>2025</v>
      </c>
      <c r="D65" s="349">
        <v>2</v>
      </c>
      <c r="E65" s="349">
        <v>2</v>
      </c>
      <c r="F65" s="349"/>
      <c r="G65" s="349" t="s">
        <v>105</v>
      </c>
      <c r="H65" s="349">
        <v>3.4</v>
      </c>
      <c r="I65" s="349"/>
      <c r="J65" s="347" t="s">
        <v>1195</v>
      </c>
      <c r="K65" s="350" t="s">
        <v>1196</v>
      </c>
      <c r="L65" s="349">
        <v>1</v>
      </c>
      <c r="M65" s="350" t="s">
        <v>1199</v>
      </c>
      <c r="N65" s="349">
        <v>0</v>
      </c>
      <c r="O65" s="350"/>
      <c r="P65" s="352"/>
      <c r="Q65" s="351" t="s">
        <v>228</v>
      </c>
      <c r="R65" s="351"/>
      <c r="S65" s="351"/>
      <c r="T65" s="355"/>
      <c r="U65" s="409" t="s">
        <v>1197</v>
      </c>
      <c r="V65" s="354"/>
      <c r="W65" s="349" t="s">
        <v>67</v>
      </c>
      <c r="X65" s="349"/>
      <c r="Y65" s="351"/>
      <c r="Z65" s="63"/>
      <c r="AA65" s="86"/>
      <c r="AB65" s="351"/>
      <c r="AC65" s="351"/>
      <c r="AD65" s="355">
        <v>45706</v>
      </c>
      <c r="AE65" s="351"/>
      <c r="AF65" s="85" t="s">
        <v>1198</v>
      </c>
      <c r="AG65" s="351"/>
      <c r="AH65" s="351"/>
      <c r="AI65" s="351"/>
      <c r="AJ65" s="351"/>
    </row>
    <row r="66" spans="1:36" s="357" customFormat="1" ht="99.5" hidden="1" customHeight="1" x14ac:dyDescent="0.2">
      <c r="A66" s="357" t="s">
        <v>1169</v>
      </c>
      <c r="B66" s="372">
        <v>59</v>
      </c>
      <c r="C66" s="349">
        <v>2025</v>
      </c>
      <c r="D66" s="15" t="s">
        <v>1005</v>
      </c>
      <c r="E66" s="33">
        <v>10</v>
      </c>
      <c r="F66" s="15">
        <v>1</v>
      </c>
      <c r="G66" s="15" t="s">
        <v>105</v>
      </c>
      <c r="H66" s="15">
        <v>3.3</v>
      </c>
      <c r="I66" s="15"/>
      <c r="J66" s="347" t="s">
        <v>1204</v>
      </c>
      <c r="K66" s="350" t="s">
        <v>1239</v>
      </c>
      <c r="L66" s="349">
        <v>0</v>
      </c>
      <c r="M66" s="350"/>
      <c r="N66" s="349">
        <v>1</v>
      </c>
      <c r="O66" s="350" t="s">
        <v>1206</v>
      </c>
      <c r="P66" s="352"/>
      <c r="Q66" s="351" t="s">
        <v>228</v>
      </c>
      <c r="R66" s="351"/>
      <c r="S66" s="351"/>
      <c r="T66" s="355"/>
      <c r="U66" s="353" t="s">
        <v>263</v>
      </c>
      <c r="V66" s="354">
        <v>0</v>
      </c>
      <c r="W66" s="349" t="s">
        <v>67</v>
      </c>
      <c r="X66" s="349">
        <v>0</v>
      </c>
      <c r="Y66" s="351"/>
      <c r="Z66" s="63"/>
      <c r="AA66" s="86"/>
      <c r="AB66" s="351"/>
      <c r="AC66" s="351"/>
      <c r="AD66" s="355">
        <v>45933</v>
      </c>
      <c r="AE66" s="351"/>
      <c r="AF66" s="85" t="s">
        <v>1205</v>
      </c>
      <c r="AG66" s="351"/>
      <c r="AH66" s="351"/>
      <c r="AI66" s="351"/>
      <c r="AJ66" s="351"/>
    </row>
    <row r="67" spans="1:36" s="357" customFormat="1" ht="26.5" hidden="1" customHeight="1" x14ac:dyDescent="0.2">
      <c r="A67" s="357" t="s">
        <v>1169</v>
      </c>
      <c r="B67" s="372">
        <v>60</v>
      </c>
      <c r="C67" s="349">
        <v>2025</v>
      </c>
      <c r="D67" s="349">
        <v>3</v>
      </c>
      <c r="E67" s="349">
        <v>3</v>
      </c>
      <c r="F67" s="349"/>
      <c r="G67" s="349" t="s">
        <v>401</v>
      </c>
      <c r="H67" s="349">
        <v>1.4</v>
      </c>
      <c r="I67" s="349"/>
      <c r="J67" s="347" t="s">
        <v>1213</v>
      </c>
      <c r="K67" s="350" t="s">
        <v>1210</v>
      </c>
      <c r="L67" s="349">
        <v>1</v>
      </c>
      <c r="M67" s="350" t="s">
        <v>1211</v>
      </c>
      <c r="N67" s="349">
        <v>0</v>
      </c>
      <c r="O67" s="350"/>
      <c r="P67" s="352"/>
      <c r="Q67" s="351" t="s">
        <v>228</v>
      </c>
      <c r="R67" s="351"/>
      <c r="S67" s="351"/>
      <c r="T67" s="355"/>
      <c r="U67" s="353" t="s">
        <v>1212</v>
      </c>
      <c r="V67" s="354"/>
      <c r="W67" s="349" t="s">
        <v>67</v>
      </c>
      <c r="X67" s="349"/>
      <c r="Y67" s="351"/>
      <c r="Z67" s="63"/>
      <c r="AA67" s="86"/>
      <c r="AB67" s="351"/>
      <c r="AC67" s="351"/>
      <c r="AD67" s="355">
        <v>45700</v>
      </c>
      <c r="AE67" s="351"/>
      <c r="AF67" s="415" t="s">
        <v>1215</v>
      </c>
      <c r="AG67" s="351"/>
      <c r="AH67" s="351"/>
      <c r="AI67" s="351"/>
      <c r="AJ67" s="351"/>
    </row>
    <row r="68" spans="1:36" s="357" customFormat="1" ht="26.5" hidden="1" customHeight="1" x14ac:dyDescent="0.2">
      <c r="A68" s="357" t="s">
        <v>1169</v>
      </c>
      <c r="B68" s="372">
        <v>61</v>
      </c>
      <c r="C68" s="349">
        <v>2025</v>
      </c>
      <c r="D68" s="349">
        <v>2</v>
      </c>
      <c r="E68" s="349">
        <v>2</v>
      </c>
      <c r="F68" s="349"/>
      <c r="G68" s="349" t="s">
        <v>9</v>
      </c>
      <c r="H68" s="349">
        <v>9.6999999999999993</v>
      </c>
      <c r="I68" s="349">
        <v>1</v>
      </c>
      <c r="J68" s="347" t="s">
        <v>1207</v>
      </c>
      <c r="K68" s="350" t="s">
        <v>1208</v>
      </c>
      <c r="L68" s="349">
        <v>1</v>
      </c>
      <c r="M68" s="350" t="s">
        <v>1209</v>
      </c>
      <c r="N68" s="349">
        <v>0</v>
      </c>
      <c r="O68" s="350"/>
      <c r="P68" s="352"/>
      <c r="Q68" s="351" t="s">
        <v>228</v>
      </c>
      <c r="R68" s="351"/>
      <c r="S68" s="351"/>
      <c r="T68" s="355"/>
      <c r="U68" s="353" t="s">
        <v>1236</v>
      </c>
      <c r="V68" s="354"/>
      <c r="W68" s="349" t="s">
        <v>67</v>
      </c>
      <c r="X68" s="349"/>
      <c r="Y68" s="351"/>
      <c r="Z68" s="63"/>
      <c r="AA68" s="86"/>
      <c r="AB68" s="351"/>
      <c r="AC68" s="351"/>
      <c r="AD68" s="355">
        <v>45791</v>
      </c>
      <c r="AE68" s="414"/>
      <c r="AF68" s="253" t="s">
        <v>1214</v>
      </c>
      <c r="AG68" s="351"/>
      <c r="AH68" s="351"/>
      <c r="AI68" s="351"/>
      <c r="AJ68" s="351"/>
    </row>
    <row r="69" spans="1:36" s="357" customFormat="1" ht="32" hidden="1" customHeight="1" x14ac:dyDescent="0.2">
      <c r="A69" s="357" t="s">
        <v>1169</v>
      </c>
      <c r="B69" s="372">
        <v>62</v>
      </c>
      <c r="C69" s="349">
        <v>2025</v>
      </c>
      <c r="D69" s="349">
        <v>2</v>
      </c>
      <c r="E69" s="349">
        <v>2</v>
      </c>
      <c r="F69" s="349"/>
      <c r="G69" s="349" t="s">
        <v>105</v>
      </c>
      <c r="H69" s="349">
        <v>3.5</v>
      </c>
      <c r="I69" s="349"/>
      <c r="J69" s="347" t="s">
        <v>1216</v>
      </c>
      <c r="K69" s="350" t="s">
        <v>1219</v>
      </c>
      <c r="L69" s="349">
        <v>0</v>
      </c>
      <c r="M69" s="350"/>
      <c r="N69" s="349">
        <v>0</v>
      </c>
      <c r="O69" s="350"/>
      <c r="P69" s="352"/>
      <c r="Q69" s="351" t="s">
        <v>228</v>
      </c>
      <c r="R69" s="351"/>
      <c r="S69" s="351"/>
      <c r="T69" s="355"/>
      <c r="U69" s="409" t="s">
        <v>476</v>
      </c>
      <c r="V69" s="354"/>
      <c r="W69" s="349" t="s">
        <v>67</v>
      </c>
      <c r="X69" s="349"/>
      <c r="Y69" s="351"/>
      <c r="Z69" s="63"/>
      <c r="AA69" s="86"/>
      <c r="AB69" s="351"/>
      <c r="AC69" s="351"/>
      <c r="AD69" s="355">
        <v>45940</v>
      </c>
      <c r="AE69" s="351"/>
      <c r="AF69" s="85" t="s">
        <v>1217</v>
      </c>
      <c r="AG69" s="351"/>
      <c r="AH69" s="351"/>
      <c r="AI69" s="85"/>
      <c r="AJ69" s="351"/>
    </row>
    <row r="70" spans="1:36" s="357" customFormat="1" ht="54.5" hidden="1" customHeight="1" x14ac:dyDescent="0.2">
      <c r="A70" s="357" t="s">
        <v>1169</v>
      </c>
      <c r="B70" s="372">
        <v>63</v>
      </c>
      <c r="C70" s="349">
        <v>2025</v>
      </c>
      <c r="D70" s="349">
        <v>2</v>
      </c>
      <c r="E70" s="349">
        <v>2</v>
      </c>
      <c r="F70" s="349"/>
      <c r="G70" s="349" t="s">
        <v>105</v>
      </c>
      <c r="H70" s="349">
        <v>3.5</v>
      </c>
      <c r="I70" s="349"/>
      <c r="J70" s="347" t="s">
        <v>1218</v>
      </c>
      <c r="K70" s="350" t="s">
        <v>1220</v>
      </c>
      <c r="L70" s="349">
        <v>1</v>
      </c>
      <c r="M70" s="350" t="s">
        <v>1221</v>
      </c>
      <c r="N70" s="349">
        <v>0</v>
      </c>
      <c r="O70" s="350"/>
      <c r="P70" s="352"/>
      <c r="Q70" s="351" t="s">
        <v>228</v>
      </c>
      <c r="R70" s="351"/>
      <c r="S70" s="351"/>
      <c r="T70" s="355"/>
      <c r="U70" s="409" t="s">
        <v>476</v>
      </c>
      <c r="V70" s="354"/>
      <c r="W70" s="349" t="s">
        <v>67</v>
      </c>
      <c r="X70" s="349"/>
      <c r="Y70" s="351"/>
      <c r="Z70" s="63"/>
      <c r="AA70" s="86"/>
      <c r="AB70" s="351"/>
      <c r="AC70" s="351"/>
      <c r="AD70" s="355">
        <v>45960</v>
      </c>
      <c r="AE70" s="351"/>
      <c r="AF70" s="253" t="s">
        <v>1222</v>
      </c>
      <c r="AG70" s="351"/>
      <c r="AH70" s="351"/>
      <c r="AI70" s="351"/>
      <c r="AJ70" s="351"/>
    </row>
    <row r="71" spans="1:36" s="357" customFormat="1" ht="77" hidden="1" customHeight="1" x14ac:dyDescent="0.2">
      <c r="A71" s="357" t="s">
        <v>1169</v>
      </c>
      <c r="B71" s="372">
        <v>64</v>
      </c>
      <c r="C71" s="349">
        <v>2025</v>
      </c>
      <c r="D71" s="349">
        <v>2</v>
      </c>
      <c r="E71" s="349">
        <v>2</v>
      </c>
      <c r="F71" s="349"/>
      <c r="G71" s="349" t="s">
        <v>9</v>
      </c>
      <c r="H71" s="349">
        <v>18</v>
      </c>
      <c r="I71" s="349">
        <v>1</v>
      </c>
      <c r="J71" s="347" t="s">
        <v>1223</v>
      </c>
      <c r="K71" s="350" t="s">
        <v>1224</v>
      </c>
      <c r="L71" s="349">
        <v>1</v>
      </c>
      <c r="M71" s="350" t="s">
        <v>1225</v>
      </c>
      <c r="N71" s="349">
        <v>0</v>
      </c>
      <c r="O71" s="350"/>
      <c r="P71" s="352"/>
      <c r="Q71" s="351" t="s">
        <v>228</v>
      </c>
      <c r="R71" s="351"/>
      <c r="S71" s="351"/>
      <c r="T71" s="355"/>
      <c r="U71" s="353" t="s">
        <v>1237</v>
      </c>
      <c r="V71" s="354"/>
      <c r="W71" s="349" t="s">
        <v>67</v>
      </c>
      <c r="X71" s="349"/>
      <c r="Y71" s="351"/>
      <c r="Z71" s="63"/>
      <c r="AA71" s="86"/>
      <c r="AB71" s="351"/>
      <c r="AC71" s="351"/>
      <c r="AD71" s="355">
        <v>45729</v>
      </c>
      <c r="AE71" s="351"/>
      <c r="AF71" s="85" t="s">
        <v>1226</v>
      </c>
      <c r="AG71" s="351"/>
      <c r="AH71" s="351"/>
      <c r="AI71" s="351"/>
      <c r="AJ71" s="351"/>
    </row>
    <row r="72" spans="1:36" s="357" customFormat="1" ht="48" hidden="1" x14ac:dyDescent="0.2">
      <c r="B72" s="372">
        <v>65</v>
      </c>
      <c r="C72" s="349">
        <v>2025</v>
      </c>
      <c r="D72" s="349">
        <v>2</v>
      </c>
      <c r="E72" s="349">
        <v>2</v>
      </c>
      <c r="F72" s="349"/>
      <c r="G72" s="349" t="s">
        <v>401</v>
      </c>
      <c r="H72" s="349">
        <v>0.3</v>
      </c>
      <c r="I72" s="349"/>
      <c r="J72" s="347" t="s">
        <v>1234</v>
      </c>
      <c r="K72" s="350" t="s">
        <v>1233</v>
      </c>
      <c r="L72" s="349">
        <v>0</v>
      </c>
      <c r="M72" s="351"/>
      <c r="N72" s="349">
        <v>1</v>
      </c>
      <c r="O72" s="347" t="s">
        <v>1235</v>
      </c>
      <c r="P72" s="352"/>
      <c r="Q72" s="351" t="s">
        <v>228</v>
      </c>
      <c r="R72" s="351"/>
      <c r="S72" s="351"/>
      <c r="T72" s="351"/>
      <c r="U72" s="353" t="s">
        <v>454</v>
      </c>
      <c r="V72" s="349"/>
      <c r="W72" s="349" t="s">
        <v>67</v>
      </c>
      <c r="X72" s="349"/>
      <c r="Y72" s="351"/>
      <c r="Z72" s="86"/>
      <c r="AA72" s="86"/>
      <c r="AB72" s="351"/>
      <c r="AC72" s="351"/>
      <c r="AD72" s="355">
        <v>45796</v>
      </c>
      <c r="AE72" s="351"/>
      <c r="AF72" s="254" t="s">
        <v>1232</v>
      </c>
      <c r="AG72" s="351"/>
      <c r="AH72" s="351"/>
      <c r="AI72" s="351"/>
      <c r="AJ72" s="351"/>
    </row>
    <row r="73" spans="1:36" s="357" customFormat="1" hidden="1" x14ac:dyDescent="0.2">
      <c r="B73" s="372"/>
      <c r="C73" s="349"/>
      <c r="D73" s="349"/>
      <c r="E73" s="349"/>
      <c r="F73" s="349"/>
      <c r="G73" s="349"/>
      <c r="H73" s="349"/>
      <c r="I73" s="349"/>
      <c r="J73" s="347"/>
      <c r="K73" s="350"/>
      <c r="L73" s="349"/>
      <c r="M73" s="351"/>
      <c r="N73" s="349"/>
      <c r="O73" s="351"/>
      <c r="P73" s="349"/>
      <c r="Q73" s="351"/>
      <c r="R73" s="351"/>
      <c r="S73" s="351"/>
      <c r="T73" s="351"/>
      <c r="U73" s="353"/>
      <c r="V73" s="349"/>
      <c r="W73" s="349"/>
      <c r="X73" s="349"/>
      <c r="Y73" s="351"/>
      <c r="Z73" s="86"/>
      <c r="AA73" s="86"/>
      <c r="AB73" s="351"/>
      <c r="AC73" s="351"/>
      <c r="AD73" s="355"/>
      <c r="AE73" s="351"/>
      <c r="AF73" s="351"/>
      <c r="AG73" s="351"/>
      <c r="AH73" s="351"/>
      <c r="AI73" s="351"/>
      <c r="AJ73" s="351"/>
    </row>
    <row r="74" spans="1:36" s="357" customFormat="1" hidden="1" x14ac:dyDescent="0.2">
      <c r="B74" s="372"/>
      <c r="C74" s="349"/>
      <c r="D74" s="349"/>
      <c r="E74" s="349"/>
      <c r="F74" s="349"/>
      <c r="G74" s="349"/>
      <c r="H74" s="349"/>
      <c r="I74" s="349"/>
      <c r="J74" s="347"/>
      <c r="K74" s="350"/>
      <c r="L74" s="349"/>
      <c r="M74" s="351"/>
      <c r="N74" s="349"/>
      <c r="O74" s="351"/>
      <c r="P74" s="349"/>
      <c r="Q74" s="351"/>
      <c r="R74" s="351"/>
      <c r="S74" s="351"/>
      <c r="T74" s="351"/>
      <c r="U74" s="353"/>
      <c r="V74" s="349"/>
      <c r="W74" s="349"/>
      <c r="X74" s="349"/>
      <c r="Y74" s="351"/>
      <c r="Z74" s="86"/>
      <c r="AA74" s="86"/>
      <c r="AB74" s="351"/>
      <c r="AC74" s="351"/>
      <c r="AD74" s="355"/>
      <c r="AE74" s="351"/>
      <c r="AF74" s="351"/>
      <c r="AG74" s="351"/>
      <c r="AH74" s="351"/>
      <c r="AI74" s="351"/>
      <c r="AJ74" s="351"/>
    </row>
    <row r="75" spans="1:36" s="357" customFormat="1" hidden="1" x14ac:dyDescent="0.2">
      <c r="B75" s="372"/>
      <c r="C75" s="349"/>
      <c r="D75" s="349"/>
      <c r="E75" s="349"/>
      <c r="F75" s="349"/>
      <c r="G75" s="349"/>
      <c r="H75" s="349"/>
      <c r="I75" s="349"/>
      <c r="J75" s="347"/>
      <c r="K75" s="350"/>
      <c r="L75" s="349"/>
      <c r="M75" s="351"/>
      <c r="N75" s="349"/>
      <c r="O75" s="351"/>
      <c r="P75" s="349"/>
      <c r="Q75" s="351"/>
      <c r="R75" s="351"/>
      <c r="S75" s="351"/>
      <c r="T75" s="351"/>
      <c r="U75" s="353"/>
      <c r="V75" s="349"/>
      <c r="W75" s="349"/>
      <c r="X75" s="349"/>
      <c r="Y75" s="351"/>
      <c r="Z75" s="86"/>
      <c r="AA75" s="86"/>
      <c r="AB75" s="351"/>
      <c r="AC75" s="351"/>
      <c r="AD75" s="355"/>
      <c r="AE75" s="351"/>
      <c r="AF75" s="351"/>
      <c r="AG75" s="351"/>
      <c r="AH75" s="351"/>
      <c r="AI75" s="351"/>
      <c r="AJ75" s="351"/>
    </row>
    <row r="76" spans="1:36" s="357" customFormat="1" hidden="1" x14ac:dyDescent="0.2">
      <c r="B76" s="372"/>
      <c r="C76" s="349"/>
      <c r="D76" s="349"/>
      <c r="E76" s="349"/>
      <c r="F76" s="349"/>
      <c r="G76" s="349"/>
      <c r="H76" s="349"/>
      <c r="I76" s="349"/>
      <c r="J76" s="347"/>
      <c r="K76" s="350"/>
      <c r="L76" s="349"/>
      <c r="M76" s="351"/>
      <c r="N76" s="349"/>
      <c r="O76" s="351"/>
      <c r="P76" s="349"/>
      <c r="Q76" s="351"/>
      <c r="R76" s="351"/>
      <c r="S76" s="351"/>
      <c r="T76" s="351"/>
      <c r="U76" s="353"/>
      <c r="V76" s="349"/>
      <c r="W76" s="349"/>
      <c r="X76" s="349"/>
      <c r="Y76" s="351"/>
      <c r="Z76" s="86"/>
      <c r="AA76" s="86"/>
      <c r="AB76" s="351"/>
      <c r="AC76" s="351"/>
      <c r="AD76" s="355"/>
      <c r="AE76" s="351"/>
      <c r="AF76" s="351"/>
      <c r="AG76" s="351"/>
      <c r="AH76" s="351"/>
      <c r="AI76" s="351"/>
      <c r="AJ76" s="351"/>
    </row>
    <row r="77" spans="1:36" s="357" customFormat="1" hidden="1" x14ac:dyDescent="0.2">
      <c r="B77" s="372"/>
      <c r="C77" s="349"/>
      <c r="D77" s="349"/>
      <c r="E77" s="349"/>
      <c r="F77" s="349"/>
      <c r="G77" s="349"/>
      <c r="H77" s="349"/>
      <c r="I77" s="349"/>
      <c r="J77" s="347"/>
      <c r="K77" s="350"/>
      <c r="L77" s="349"/>
      <c r="M77" s="351"/>
      <c r="N77" s="349"/>
      <c r="O77" s="351"/>
      <c r="P77" s="349"/>
      <c r="Q77" s="351"/>
      <c r="R77" s="351"/>
      <c r="S77" s="351"/>
      <c r="T77" s="351"/>
      <c r="U77" s="353"/>
      <c r="V77" s="349"/>
      <c r="W77" s="349"/>
      <c r="X77" s="349"/>
      <c r="Y77" s="351"/>
      <c r="Z77" s="86"/>
      <c r="AA77" s="86"/>
      <c r="AB77" s="351"/>
      <c r="AC77" s="351"/>
      <c r="AD77" s="355"/>
      <c r="AE77" s="351"/>
      <c r="AF77" s="351"/>
      <c r="AG77" s="351"/>
      <c r="AH77" s="351"/>
      <c r="AI77" s="351"/>
      <c r="AJ77" s="351"/>
    </row>
    <row r="78" spans="1:36" s="357" customFormat="1" hidden="1" x14ac:dyDescent="0.2">
      <c r="B78" s="372"/>
      <c r="C78" s="349"/>
      <c r="D78" s="349"/>
      <c r="E78" s="349"/>
      <c r="F78" s="349"/>
      <c r="G78" s="349"/>
      <c r="H78" s="349"/>
      <c r="I78" s="349"/>
      <c r="J78" s="347"/>
      <c r="K78" s="350"/>
      <c r="L78" s="349"/>
      <c r="M78" s="351"/>
      <c r="N78" s="349"/>
      <c r="O78" s="351"/>
      <c r="P78" s="349"/>
      <c r="Q78" s="351"/>
      <c r="R78" s="351"/>
      <c r="S78" s="351"/>
      <c r="T78" s="351"/>
      <c r="U78" s="353"/>
      <c r="V78" s="349"/>
      <c r="W78" s="349"/>
      <c r="X78" s="349"/>
      <c r="Y78" s="351"/>
      <c r="Z78" s="86"/>
      <c r="AA78" s="86"/>
      <c r="AB78" s="351"/>
      <c r="AC78" s="351"/>
      <c r="AD78" s="355"/>
      <c r="AE78" s="351"/>
      <c r="AF78" s="351"/>
      <c r="AG78" s="351"/>
      <c r="AH78" s="351"/>
      <c r="AI78" s="351"/>
      <c r="AJ78" s="351"/>
    </row>
    <row r="79" spans="1:36" s="357" customFormat="1" hidden="1" x14ac:dyDescent="0.2">
      <c r="B79" s="372"/>
      <c r="C79" s="349"/>
      <c r="D79" s="349"/>
      <c r="E79" s="349"/>
      <c r="F79" s="349"/>
      <c r="G79" s="349"/>
      <c r="H79" s="349"/>
      <c r="I79" s="349"/>
      <c r="J79" s="347"/>
      <c r="K79" s="350"/>
      <c r="L79" s="349"/>
      <c r="M79" s="351"/>
      <c r="N79" s="349"/>
      <c r="O79" s="351"/>
      <c r="P79" s="349"/>
      <c r="Q79" s="351"/>
      <c r="R79" s="351"/>
      <c r="S79" s="351"/>
      <c r="T79" s="351"/>
      <c r="U79" s="353"/>
      <c r="V79" s="349"/>
      <c r="W79" s="349"/>
      <c r="X79" s="349"/>
      <c r="Y79" s="351"/>
      <c r="Z79" s="86"/>
      <c r="AA79" s="86"/>
      <c r="AB79" s="351"/>
      <c r="AC79" s="351"/>
      <c r="AD79" s="355"/>
      <c r="AE79" s="351"/>
      <c r="AF79" s="351"/>
      <c r="AG79" s="351"/>
      <c r="AH79" s="351"/>
      <c r="AI79" s="351"/>
      <c r="AJ79" s="351"/>
    </row>
    <row r="80" spans="1:36" s="357" customFormat="1" hidden="1" x14ac:dyDescent="0.2">
      <c r="B80" s="372"/>
      <c r="C80" s="349"/>
      <c r="D80" s="349"/>
      <c r="E80" s="349"/>
      <c r="F80" s="349"/>
      <c r="G80" s="349"/>
      <c r="H80" s="349"/>
      <c r="I80" s="349"/>
      <c r="J80" s="347"/>
      <c r="K80" s="350"/>
      <c r="L80" s="349"/>
      <c r="M80" s="351"/>
      <c r="N80" s="349"/>
      <c r="O80" s="351"/>
      <c r="P80" s="349"/>
      <c r="Q80" s="351"/>
      <c r="R80" s="351"/>
      <c r="S80" s="351"/>
      <c r="T80" s="351"/>
      <c r="U80" s="353"/>
      <c r="V80" s="349"/>
      <c r="W80" s="349"/>
      <c r="X80" s="349"/>
      <c r="Y80" s="351"/>
      <c r="Z80" s="86"/>
      <c r="AA80" s="86"/>
      <c r="AB80" s="351"/>
      <c r="AC80" s="351"/>
      <c r="AD80" s="355"/>
      <c r="AE80" s="351"/>
      <c r="AF80" s="351"/>
      <c r="AG80" s="351"/>
      <c r="AH80" s="351"/>
      <c r="AI80" s="351"/>
      <c r="AJ80" s="351"/>
    </row>
    <row r="81" spans="2:36" s="357" customFormat="1" hidden="1" x14ac:dyDescent="0.2">
      <c r="B81" s="372"/>
      <c r="C81" s="349"/>
      <c r="D81" s="349"/>
      <c r="E81" s="349"/>
      <c r="F81" s="349"/>
      <c r="G81" s="349"/>
      <c r="H81" s="349"/>
      <c r="I81" s="349"/>
      <c r="J81" s="347"/>
      <c r="K81" s="350"/>
      <c r="L81" s="349"/>
      <c r="M81" s="351"/>
      <c r="N81" s="349"/>
      <c r="O81" s="351"/>
      <c r="P81" s="349"/>
      <c r="Q81" s="351"/>
      <c r="R81" s="351"/>
      <c r="S81" s="351"/>
      <c r="T81" s="351"/>
      <c r="U81" s="353"/>
      <c r="V81" s="349"/>
      <c r="W81" s="349"/>
      <c r="X81" s="349"/>
      <c r="Y81" s="351"/>
      <c r="Z81" s="86"/>
      <c r="AA81" s="86"/>
      <c r="AB81" s="351"/>
      <c r="AC81" s="351"/>
      <c r="AD81" s="355"/>
      <c r="AE81" s="351"/>
      <c r="AF81" s="351"/>
      <c r="AG81" s="351"/>
      <c r="AH81" s="351"/>
      <c r="AI81" s="351"/>
      <c r="AJ81" s="351"/>
    </row>
    <row r="82" spans="2:36" s="357" customFormat="1" hidden="1" x14ac:dyDescent="0.2">
      <c r="B82" s="372"/>
      <c r="C82" s="349"/>
      <c r="D82" s="349"/>
      <c r="E82" s="349"/>
      <c r="F82" s="349"/>
      <c r="G82" s="349"/>
      <c r="H82" s="349"/>
      <c r="I82" s="349"/>
      <c r="J82" s="347"/>
      <c r="K82" s="350"/>
      <c r="L82" s="349"/>
      <c r="M82" s="351"/>
      <c r="N82" s="349"/>
      <c r="O82" s="351"/>
      <c r="P82" s="349"/>
      <c r="Q82" s="351"/>
      <c r="R82" s="351"/>
      <c r="S82" s="351"/>
      <c r="T82" s="351"/>
      <c r="U82" s="353"/>
      <c r="V82" s="349"/>
      <c r="W82" s="349"/>
      <c r="X82" s="349"/>
      <c r="Y82" s="351"/>
      <c r="Z82" s="86"/>
      <c r="AA82" s="86"/>
      <c r="AB82" s="351"/>
      <c r="AC82" s="351"/>
      <c r="AD82" s="355"/>
      <c r="AE82" s="351"/>
      <c r="AF82" s="351"/>
      <c r="AG82" s="351"/>
      <c r="AH82" s="351"/>
      <c r="AI82" s="351"/>
      <c r="AJ82" s="351"/>
    </row>
    <row r="83" spans="2:36" s="357" customFormat="1" hidden="1" x14ac:dyDescent="0.2">
      <c r="B83" s="372"/>
      <c r="C83" s="349"/>
      <c r="D83" s="349"/>
      <c r="E83" s="349"/>
      <c r="F83" s="349"/>
      <c r="G83" s="349"/>
      <c r="H83" s="349"/>
      <c r="I83" s="349"/>
      <c r="J83" s="347"/>
      <c r="K83" s="350"/>
      <c r="L83" s="349"/>
      <c r="M83" s="351"/>
      <c r="N83" s="349"/>
      <c r="O83" s="351"/>
      <c r="P83" s="349"/>
      <c r="Q83" s="351"/>
      <c r="R83" s="351"/>
      <c r="S83" s="351"/>
      <c r="T83" s="351"/>
      <c r="U83" s="353"/>
      <c r="V83" s="349"/>
      <c r="W83" s="349"/>
      <c r="X83" s="349"/>
      <c r="Y83" s="351"/>
      <c r="Z83" s="86"/>
      <c r="AA83" s="86"/>
      <c r="AB83" s="351"/>
      <c r="AC83" s="351"/>
      <c r="AD83" s="355"/>
      <c r="AE83" s="351"/>
      <c r="AF83" s="351"/>
      <c r="AG83" s="351"/>
      <c r="AH83" s="351"/>
      <c r="AI83" s="351"/>
      <c r="AJ83" s="351"/>
    </row>
    <row r="84" spans="2:36" s="357" customFormat="1" hidden="1" x14ac:dyDescent="0.2">
      <c r="B84" s="372"/>
      <c r="C84" s="349"/>
      <c r="D84" s="349"/>
      <c r="E84" s="349"/>
      <c r="F84" s="349"/>
      <c r="G84" s="349"/>
      <c r="H84" s="349"/>
      <c r="I84" s="349"/>
      <c r="J84" s="347"/>
      <c r="K84" s="350"/>
      <c r="L84" s="349"/>
      <c r="M84" s="351"/>
      <c r="N84" s="349"/>
      <c r="O84" s="351"/>
      <c r="P84" s="349"/>
      <c r="Q84" s="351"/>
      <c r="R84" s="351"/>
      <c r="S84" s="351"/>
      <c r="T84" s="351"/>
      <c r="U84" s="353"/>
      <c r="V84" s="349"/>
      <c r="W84" s="349"/>
      <c r="X84" s="349"/>
      <c r="Y84" s="351"/>
      <c r="Z84" s="86"/>
      <c r="AA84" s="86"/>
      <c r="AB84" s="351"/>
      <c r="AC84" s="351"/>
      <c r="AD84" s="355"/>
      <c r="AE84" s="351"/>
      <c r="AF84" s="351"/>
      <c r="AG84" s="351"/>
      <c r="AH84" s="351"/>
      <c r="AI84" s="351"/>
      <c r="AJ84" s="351"/>
    </row>
    <row r="85" spans="2:36" s="357" customFormat="1" hidden="1" x14ac:dyDescent="0.2">
      <c r="B85" s="372"/>
      <c r="C85" s="349"/>
      <c r="D85" s="349"/>
      <c r="E85" s="349"/>
      <c r="F85" s="349"/>
      <c r="G85" s="349"/>
      <c r="H85" s="349"/>
      <c r="I85" s="349"/>
      <c r="J85" s="347"/>
      <c r="K85" s="350"/>
      <c r="L85" s="349"/>
      <c r="M85" s="351"/>
      <c r="N85" s="349"/>
      <c r="O85" s="351"/>
      <c r="P85" s="349"/>
      <c r="Q85" s="351"/>
      <c r="R85" s="351"/>
      <c r="S85" s="351"/>
      <c r="T85" s="351"/>
      <c r="U85" s="353"/>
      <c r="V85" s="349"/>
      <c r="W85" s="349"/>
      <c r="X85" s="349"/>
      <c r="Y85" s="351"/>
      <c r="Z85" s="86"/>
      <c r="AA85" s="86"/>
      <c r="AB85" s="351"/>
      <c r="AC85" s="351"/>
      <c r="AD85" s="355"/>
      <c r="AE85" s="351"/>
      <c r="AF85" s="351"/>
      <c r="AG85" s="351"/>
      <c r="AH85" s="351"/>
      <c r="AI85" s="351"/>
      <c r="AJ85" s="351"/>
    </row>
    <row r="86" spans="2:36" s="357" customFormat="1" hidden="1" x14ac:dyDescent="0.2">
      <c r="B86" s="372"/>
      <c r="C86" s="349"/>
      <c r="D86" s="349"/>
      <c r="E86" s="349"/>
      <c r="F86" s="349"/>
      <c r="G86" s="349"/>
      <c r="H86" s="349"/>
      <c r="I86" s="349"/>
      <c r="J86" s="347"/>
      <c r="K86" s="350"/>
      <c r="L86" s="349"/>
      <c r="M86" s="351"/>
      <c r="N86" s="349"/>
      <c r="O86" s="351"/>
      <c r="P86" s="349"/>
      <c r="Q86" s="351"/>
      <c r="R86" s="351"/>
      <c r="S86" s="351"/>
      <c r="T86" s="351"/>
      <c r="U86" s="353"/>
      <c r="V86" s="349"/>
      <c r="W86" s="349"/>
      <c r="X86" s="349"/>
      <c r="Y86" s="351"/>
      <c r="Z86" s="86"/>
      <c r="AA86" s="86"/>
      <c r="AB86" s="351"/>
      <c r="AC86" s="351"/>
      <c r="AD86" s="355"/>
      <c r="AE86" s="351"/>
      <c r="AF86" s="351"/>
      <c r="AG86" s="351"/>
      <c r="AH86" s="351"/>
      <c r="AI86" s="351"/>
      <c r="AJ86" s="351"/>
    </row>
    <row r="87" spans="2:36" s="357" customFormat="1" hidden="1" x14ac:dyDescent="0.2">
      <c r="B87" s="372"/>
      <c r="C87" s="349"/>
      <c r="D87" s="349"/>
      <c r="E87" s="349"/>
      <c r="F87" s="349"/>
      <c r="G87" s="349"/>
      <c r="H87" s="349"/>
      <c r="I87" s="349"/>
      <c r="J87" s="347"/>
      <c r="K87" s="350"/>
      <c r="L87" s="349"/>
      <c r="M87" s="351"/>
      <c r="N87" s="349"/>
      <c r="O87" s="351"/>
      <c r="P87" s="349"/>
      <c r="Q87" s="351"/>
      <c r="R87" s="351"/>
      <c r="S87" s="351"/>
      <c r="T87" s="351"/>
      <c r="U87" s="353"/>
      <c r="V87" s="349"/>
      <c r="W87" s="349"/>
      <c r="X87" s="349"/>
      <c r="Y87" s="351"/>
      <c r="Z87" s="86"/>
      <c r="AA87" s="86"/>
      <c r="AB87" s="351"/>
      <c r="AC87" s="351"/>
      <c r="AD87" s="355"/>
      <c r="AE87" s="351"/>
      <c r="AF87" s="351"/>
      <c r="AG87" s="351"/>
      <c r="AH87" s="351"/>
      <c r="AI87" s="351"/>
      <c r="AJ87" s="351"/>
    </row>
    <row r="88" spans="2:36" s="357" customFormat="1" hidden="1" x14ac:dyDescent="0.2">
      <c r="B88" s="372"/>
      <c r="C88" s="349"/>
      <c r="D88" s="349"/>
      <c r="E88" s="349"/>
      <c r="F88" s="349"/>
      <c r="G88" s="349"/>
      <c r="H88" s="349"/>
      <c r="I88" s="349"/>
      <c r="J88" s="351"/>
      <c r="K88" s="360"/>
      <c r="L88" s="349"/>
      <c r="M88" s="351"/>
      <c r="N88" s="349"/>
      <c r="O88" s="351"/>
      <c r="P88" s="349"/>
      <c r="Q88" s="351"/>
      <c r="R88" s="351"/>
      <c r="S88" s="351"/>
      <c r="T88" s="351"/>
      <c r="U88" s="353"/>
      <c r="V88" s="349"/>
      <c r="W88" s="349"/>
      <c r="X88" s="349"/>
      <c r="Y88" s="351"/>
      <c r="Z88" s="86"/>
      <c r="AA88" s="86"/>
      <c r="AB88" s="351"/>
      <c r="AC88" s="351"/>
      <c r="AD88" s="351"/>
      <c r="AE88" s="351"/>
      <c r="AF88" s="351"/>
      <c r="AG88" s="351"/>
      <c r="AH88" s="351"/>
      <c r="AI88" s="351"/>
      <c r="AJ88" s="351"/>
    </row>
    <row r="89" spans="2:36" ht="16" hidden="1" x14ac:dyDescent="0.2">
      <c r="F89" s="404">
        <f>SUM(F8:F88)</f>
        <v>13</v>
      </c>
      <c r="H89" s="6">
        <f>AVERAGE(H8:H88)</f>
        <v>4.8359375</v>
      </c>
      <c r="I89" s="6">
        <f>SUM(I8:I88)</f>
        <v>13</v>
      </c>
    </row>
    <row r="90" spans="2:36" hidden="1" x14ac:dyDescent="0.2">
      <c r="L90" s="71">
        <f>SUM(L8:L89)</f>
        <v>38</v>
      </c>
      <c r="M90" s="25"/>
      <c r="N90" s="71">
        <f>SUM(N8:N89)</f>
        <v>44</v>
      </c>
      <c r="W90" s="20" t="s">
        <v>185</v>
      </c>
      <c r="X90" s="20" t="s">
        <v>1160</v>
      </c>
      <c r="Y90" s="19" t="s">
        <v>1201</v>
      </c>
      <c r="Z90" s="21">
        <v>3076890</v>
      </c>
    </row>
    <row r="91" spans="2:36" ht="19" hidden="1" x14ac:dyDescent="0.2">
      <c r="J91" s="93" t="s">
        <v>1101</v>
      </c>
      <c r="W91" s="438" t="s">
        <v>844</v>
      </c>
      <c r="X91" s="438"/>
      <c r="Y91" s="438"/>
      <c r="Z91" s="257">
        <f>SUM(Z24:Z88)+Z90</f>
        <v>18553612</v>
      </c>
    </row>
    <row r="94" spans="2:36" x14ac:dyDescent="0.2">
      <c r="C94" s="6" t="s">
        <v>1058</v>
      </c>
    </row>
    <row r="96" spans="2:36" s="357" customFormat="1" ht="72" x14ac:dyDescent="0.15">
      <c r="B96" s="348"/>
      <c r="C96" s="349">
        <v>2025</v>
      </c>
      <c r="D96" s="349">
        <v>1</v>
      </c>
      <c r="E96" s="349"/>
      <c r="F96" s="349"/>
      <c r="G96" s="352"/>
      <c r="H96" s="352"/>
      <c r="I96" s="352"/>
      <c r="J96" s="347" t="s">
        <v>1050</v>
      </c>
      <c r="K96" s="350" t="s">
        <v>1053</v>
      </c>
      <c r="L96" s="349">
        <v>1</v>
      </c>
      <c r="M96" s="358" t="s">
        <v>1052</v>
      </c>
      <c r="N96" s="349"/>
      <c r="O96" s="351"/>
      <c r="P96" s="352"/>
      <c r="Q96" s="16" t="s">
        <v>228</v>
      </c>
      <c r="R96" s="351"/>
      <c r="S96" s="351"/>
      <c r="T96" s="351"/>
      <c r="U96" s="359"/>
      <c r="V96" s="41">
        <v>0</v>
      </c>
      <c r="W96" s="15" t="s">
        <v>67</v>
      </c>
      <c r="X96" s="349"/>
      <c r="Y96" s="351"/>
      <c r="Z96" s="86"/>
      <c r="AA96" s="86"/>
      <c r="AB96" s="351"/>
      <c r="AC96" s="351"/>
      <c r="AD96" s="355">
        <v>45812</v>
      </c>
      <c r="AE96" s="351"/>
      <c r="AF96" s="253" t="s">
        <v>1051</v>
      </c>
      <c r="AG96" s="351"/>
      <c r="AH96" s="351"/>
      <c r="AI96" s="356"/>
      <c r="AJ96" s="351"/>
    </row>
  </sheetData>
  <autoFilter ref="B7:AJ91" xr:uid="{538E9F63-1EC2-40A4-A6BC-A0587D276285}">
    <filterColumn colId="2">
      <filters>
        <filter val="4"/>
        <filter val="4-2"/>
      </filters>
    </filterColumn>
  </autoFilter>
  <mergeCells count="3">
    <mergeCell ref="W91:Y91"/>
    <mergeCell ref="D6:Y6"/>
    <mergeCell ref="AD6:AI6"/>
  </mergeCells>
  <hyperlinks>
    <hyperlink ref="AF8" r:id="rId1" xr:uid="{4FE098C2-4C05-4AFB-877A-F54D51E135B0}"/>
    <hyperlink ref="AF9" r:id="rId2" xr:uid="{1135E2B2-FBA2-40D3-90E6-C4F1DF762337}"/>
    <hyperlink ref="AF12" r:id="rId3" xr:uid="{E5973179-E9A0-42BF-8040-E40DCE9148F3}"/>
    <hyperlink ref="AF15" r:id="rId4" xr:uid="{7163EF7B-3D90-49CF-B324-07EBD78144EA}"/>
    <hyperlink ref="AF14" r:id="rId5" xr:uid="{C163167B-7E22-495B-A28F-189D805E595D}"/>
    <hyperlink ref="AF18" r:id="rId6" xr:uid="{13253342-7447-45B3-81D2-3388B1388897}"/>
    <hyperlink ref="AF19" r:id="rId7" display="https://doi.org/10.2196/60169" xr:uid="{58361D4C-9642-4CFA-94D4-84C07C2476AD}"/>
    <hyperlink ref="AF21" r:id="rId8" xr:uid="{CB11D219-7BD4-47F9-B459-E14E8FFC03F7}"/>
    <hyperlink ref="AF23" r:id="rId9" xr:uid="{C85FB50A-0A90-4DBE-A70A-ACB482E73716}"/>
    <hyperlink ref="AF22" r:id="rId10" xr:uid="{831562C5-8922-4F69-8F2D-11EE4AABD6B4}"/>
    <hyperlink ref="AF20" r:id="rId11" xr:uid="{7002A465-2E00-4D30-8B33-DE06744FF2F7}"/>
    <hyperlink ref="AF24" r:id="rId12" xr:uid="{72D1C206-AF61-403C-BF93-0CE5D75874B5}"/>
    <hyperlink ref="AF25" r:id="rId13" xr:uid="{6B718D07-8D70-4AF9-A058-03848FCD8616}"/>
    <hyperlink ref="AF27" r:id="rId14" xr:uid="{7F628D37-74E6-47B6-A151-F09E905643FD}"/>
    <hyperlink ref="AF28" r:id="rId15" xr:uid="{AF19A2A4-3A77-46AD-8279-F092E98478D6}"/>
    <hyperlink ref="AF29" r:id="rId16" xr:uid="{9A6B8D06-3A71-4D95-B9F9-8766E4048D79}"/>
    <hyperlink ref="AF30" r:id="rId17" xr:uid="{3162ECFE-AECE-4D6B-8F58-3AEA1D842BCB}"/>
    <hyperlink ref="AF11" r:id="rId18" xr:uid="{5DDC9A82-DC18-46F9-8EFF-AD5DC6D76D33}"/>
    <hyperlink ref="AF39" r:id="rId19" xr:uid="{04307992-3E8C-448F-9867-63EEBE6B258E}"/>
    <hyperlink ref="AF40" r:id="rId20" xr:uid="{5BE71008-CB25-4B9C-B616-97BA5C6027EC}"/>
    <hyperlink ref="AF13" r:id="rId21" xr:uid="{F2BBC038-FBDA-4552-8D8B-48FD5B4841F2}"/>
    <hyperlink ref="AF16" r:id="rId22" xr:uid="{B3565E1B-3056-4B53-81D6-9652E14E98C0}"/>
    <hyperlink ref="AF31" r:id="rId23" xr:uid="{7670F2EB-ACBC-481C-8489-4C953664A979}"/>
    <hyperlink ref="AF33" r:id="rId24" tooltip="Persistent link using digital object identifier" xr:uid="{C1D3F84F-FA21-4425-99CE-9AC91AED0AFE}"/>
    <hyperlink ref="AF34" r:id="rId25" xr:uid="{B131E875-861C-417A-A2E6-B0C3C3CCD1FB}"/>
    <hyperlink ref="AF35" r:id="rId26" xr:uid="{11D26430-EB22-4E7F-BF64-85E22F62CD15}"/>
    <hyperlink ref="AF36" r:id="rId27" xr:uid="{A5C042AC-E3FA-4726-B5D7-913AA2B2DFCC}"/>
    <hyperlink ref="AF37" r:id="rId28" xr:uid="{2899284F-57A8-4012-A567-BF0731EB4463}"/>
    <hyperlink ref="AF38" r:id="rId29" xr:uid="{E2F39AC1-A73D-4164-98DF-8C50CFA8EB84}"/>
    <hyperlink ref="AF42" r:id="rId30" xr:uid="{40BC987C-D54B-4373-9B47-29BC385F7CC1}"/>
    <hyperlink ref="AF44" r:id="rId31" xr:uid="{330D66BD-4026-40CB-BAC4-61A0AEEA0EA4}"/>
    <hyperlink ref="AF45" r:id="rId32" xr:uid="{1C97B2CD-52DD-43B4-9DBA-233FDDC91025}"/>
    <hyperlink ref="AF46" r:id="rId33" xr:uid="{B1D693C0-2B5C-4C3A-B184-7B1901FB8651}"/>
    <hyperlink ref="AF47" r:id="rId34" xr:uid="{8620C422-3C66-49C1-B616-52AF3DA423D5}"/>
    <hyperlink ref="AF96" r:id="rId35" xr:uid="{82B8A20B-22AE-407B-9B08-245D842A256A}"/>
    <hyperlink ref="AI48" r:id="rId36" xr:uid="{483BE5DB-161D-4D83-9941-DF7E6D5545DE}"/>
    <hyperlink ref="AF48" r:id="rId37" xr:uid="{87F22BD6-E5BA-412A-B87A-D088CBCC4BF1}"/>
    <hyperlink ref="AF49" r:id="rId38" xr:uid="{2D29E9AF-CE33-4B27-8FC0-6E335121DACA}"/>
    <hyperlink ref="AF50" r:id="rId39" xr:uid="{CD31227D-B467-460A-9B98-03D06A4DA4B5}"/>
    <hyperlink ref="AF51" r:id="rId40" xr:uid="{FA59EC3B-DD76-42EC-94A2-65844E7BB5F7}"/>
    <hyperlink ref="AF52" r:id="rId41" xr:uid="{B17A5BF7-840B-4153-AD21-4A218350F59A}"/>
    <hyperlink ref="AF53" r:id="rId42" xr:uid="{314655F2-A703-400A-901C-6E2FB186A894}"/>
    <hyperlink ref="AF54" r:id="rId43" xr:uid="{9CBCA7FE-5FC0-4D27-B171-150464D968A0}"/>
    <hyperlink ref="AF58" r:id="rId44" xr:uid="{3532F8DC-F4F8-43A9-8ABD-47F67758D79B}"/>
    <hyperlink ref="AF57" r:id="rId45" xr:uid="{1AB17BC5-8E1E-488D-BC25-7BE62874BDB7}"/>
    <hyperlink ref="AF59" r:id="rId46" xr:uid="{379BEB23-6FEF-4A1E-8052-08B9F69F827C}"/>
    <hyperlink ref="AF60" r:id="rId47" xr:uid="{D37A054B-DD4C-4F88-8FE5-BBF350C9D153}"/>
    <hyperlink ref="AF61" r:id="rId48" xr:uid="{7B8F9C36-62E4-4751-A16C-C9CB774107A0}"/>
    <hyperlink ref="AF62" r:id="rId49" xr:uid="{08B7C6E3-D946-4E26-8B48-548CA0B38B3A}"/>
    <hyperlink ref="AF64" r:id="rId50" xr:uid="{46F4A9B2-E06F-4D9F-B512-5057BC534825}"/>
    <hyperlink ref="AF65" r:id="rId51" xr:uid="{7348EEBA-9FD0-4313-B81C-60AB1E7814DA}"/>
    <hyperlink ref="AF66" r:id="rId52" xr:uid="{AC136732-FF9D-42F6-8DA4-46ED40C6C0C1}"/>
    <hyperlink ref="AF68" r:id="rId53" xr:uid="{566A7987-854F-4579-BE4A-00B57956081A}"/>
    <hyperlink ref="AF67" r:id="rId54" xr:uid="{A700A477-5492-491E-9AC4-CAA5BEAF7711}"/>
    <hyperlink ref="AF69" r:id="rId55" xr:uid="{F70E3855-21B1-4A89-90D2-0661E711A53E}"/>
    <hyperlink ref="AF70" r:id="rId56" tooltip="Persistent link using digital object identifier" xr:uid="{72154A88-96C3-4006-BCF9-D873A262F8A9}"/>
    <hyperlink ref="AF71" r:id="rId57" xr:uid="{86C9D6B6-A43A-4923-A76B-D9C2B03B84C7}"/>
    <hyperlink ref="AF72" r:id="rId58" xr:uid="{2A074AB4-738F-4364-8612-3E3A9EAFD4B1}"/>
  </hyperlinks>
  <pageMargins left="0.7" right="0.7" top="0.75" bottom="0.75" header="0.3" footer="0.3"/>
  <pageSetup orientation="portrait" r:id="rId59"/>
  <legacyDrawing r:id="rId6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CCE3C-0648-4800-90F1-F717381D7626}">
  <sheetPr>
    <tabColor theme="9" tint="0.59999389629810485"/>
  </sheetPr>
  <dimension ref="A1:MJ40"/>
  <sheetViews>
    <sheetView zoomScale="60" zoomScaleNormal="60" workbookViewId="0">
      <pane xSplit="1" ySplit="6" topLeftCell="B16" activePane="bottomRight" state="frozen"/>
      <selection pane="topRight" activeCell="B1" sqref="B1"/>
      <selection pane="bottomLeft" activeCell="A7" sqref="A7"/>
      <selection pane="bottomRight" activeCell="G18" sqref="G18"/>
    </sheetView>
  </sheetViews>
  <sheetFormatPr baseColWidth="10" defaultColWidth="11.5" defaultRowHeight="15" x14ac:dyDescent="0.2"/>
  <cols>
    <col min="1" max="1" width="5.83203125" style="6" customWidth="1"/>
    <col min="2" max="2" width="11" style="6" customWidth="1"/>
    <col min="3" max="3" width="9.33203125" style="6" customWidth="1"/>
    <col min="4" max="5" width="10.6640625" style="6" customWidth="1"/>
    <col min="6" max="6" width="14.5" style="20" customWidth="1"/>
    <col min="7" max="7" width="55.83203125" style="19" customWidth="1"/>
    <col min="8" max="8" width="53.5" style="19" customWidth="1"/>
    <col min="9" max="9" width="13.5" style="20" hidden="1" customWidth="1"/>
    <col min="10" max="10" width="28.5" style="19" hidden="1" customWidth="1"/>
    <col min="11" max="13" width="30.5" style="19" hidden="1" customWidth="1"/>
    <col min="14" max="14" width="29.1640625" style="19" hidden="1" customWidth="1"/>
    <col min="15" max="15" width="15.33203125" style="20" customWidth="1"/>
    <col min="16" max="16" width="61.6640625" style="19" customWidth="1"/>
    <col min="17" max="17" width="21.1640625" style="20" customWidth="1"/>
    <col min="18" max="18" width="61.5" style="19" customWidth="1"/>
    <col min="19" max="19" width="35.33203125" style="19" customWidth="1"/>
    <col min="20" max="20" width="12.83203125" style="20" customWidth="1"/>
    <col min="21" max="21" width="15.1640625" style="19" customWidth="1"/>
    <col min="22" max="24" width="21.5" style="19" customWidth="1"/>
    <col min="25" max="25" width="33.5" style="19" customWidth="1"/>
    <col min="26" max="28" width="14.83203125" style="20" customWidth="1"/>
    <col min="29" max="29" width="14.1640625" style="19" customWidth="1"/>
    <col min="30" max="31" width="16" style="21" customWidth="1"/>
    <col min="32" max="32" width="19.6640625" style="19" customWidth="1"/>
    <col min="33" max="33" width="18.6640625" style="19" customWidth="1"/>
    <col min="34" max="34" width="15.1640625" style="19" customWidth="1"/>
    <col min="35" max="35" width="11.5" style="19"/>
    <col min="36" max="36" width="45" style="19" customWidth="1"/>
    <col min="37" max="37" width="11.5" style="19"/>
    <col min="38" max="38" width="13.5" style="19" customWidth="1"/>
    <col min="39" max="39" width="53.6640625" style="19" customWidth="1"/>
    <col min="40" max="40" width="15.5" style="19" customWidth="1"/>
    <col min="41" max="41" width="26" style="19" customWidth="1"/>
    <col min="42" max="16384" width="11.5" style="19"/>
  </cols>
  <sheetData>
    <row r="1" spans="1:40" ht="24" x14ac:dyDescent="0.2">
      <c r="G1" s="67" t="s">
        <v>22</v>
      </c>
    </row>
    <row r="3" spans="1:40" ht="20" thickBot="1" x14ac:dyDescent="0.25">
      <c r="G3" s="258" t="s">
        <v>753</v>
      </c>
      <c r="O3" s="19"/>
      <c r="Q3" s="19"/>
    </row>
    <row r="4" spans="1:40" ht="27" thickBot="1" x14ac:dyDescent="0.25">
      <c r="G4" s="30">
        <v>2024</v>
      </c>
      <c r="O4" s="19"/>
      <c r="Q4" s="19"/>
      <c r="AH4" s="19" t="s">
        <v>24</v>
      </c>
    </row>
    <row r="5" spans="1:40" ht="17" thickBot="1" x14ac:dyDescent="0.25">
      <c r="C5" s="439" t="s">
        <v>25</v>
      </c>
      <c r="D5" s="439"/>
      <c r="E5" s="439"/>
      <c r="F5" s="439"/>
      <c r="G5" s="439"/>
      <c r="H5" s="439"/>
      <c r="I5" s="439"/>
      <c r="J5" s="439"/>
      <c r="K5" s="439"/>
      <c r="L5" s="439"/>
      <c r="M5" s="439"/>
      <c r="N5" s="439"/>
      <c r="O5" s="439"/>
      <c r="P5" s="439"/>
      <c r="Q5" s="439"/>
      <c r="R5" s="439"/>
      <c r="S5" s="439"/>
      <c r="T5" s="439"/>
      <c r="U5" s="439"/>
      <c r="V5" s="439"/>
      <c r="W5" s="439"/>
      <c r="X5" s="439"/>
      <c r="Y5" s="439"/>
      <c r="Z5" s="439"/>
      <c r="AA5" s="439"/>
      <c r="AB5" s="439"/>
      <c r="AC5" s="440"/>
      <c r="AD5" s="26"/>
      <c r="AE5" s="26"/>
      <c r="AF5" s="11" t="s">
        <v>26</v>
      </c>
      <c r="AG5" s="11" t="s">
        <v>27</v>
      </c>
      <c r="AH5" s="441" t="s">
        <v>28</v>
      </c>
      <c r="AI5" s="441"/>
      <c r="AJ5" s="441"/>
      <c r="AK5" s="441"/>
      <c r="AL5" s="441"/>
      <c r="AM5" s="441"/>
    </row>
    <row r="6" spans="1:40" ht="48" x14ac:dyDescent="0.2">
      <c r="A6" s="71" t="s">
        <v>29</v>
      </c>
      <c r="B6" s="237" t="s">
        <v>779</v>
      </c>
      <c r="C6" s="72" t="s">
        <v>7</v>
      </c>
      <c r="D6" s="72" t="s">
        <v>30</v>
      </c>
      <c r="E6" s="72" t="s">
        <v>1131</v>
      </c>
      <c r="F6" s="72" t="s">
        <v>31</v>
      </c>
      <c r="G6" s="72" t="s">
        <v>32</v>
      </c>
      <c r="H6" s="72" t="s">
        <v>33</v>
      </c>
      <c r="I6" s="72" t="s">
        <v>34</v>
      </c>
      <c r="J6" s="72" t="s">
        <v>35</v>
      </c>
      <c r="K6" s="72" t="s">
        <v>36</v>
      </c>
      <c r="L6" s="72" t="s">
        <v>37</v>
      </c>
      <c r="M6" s="72" t="s">
        <v>38</v>
      </c>
      <c r="N6" s="72" t="s">
        <v>39</v>
      </c>
      <c r="O6" s="72" t="s">
        <v>535</v>
      </c>
      <c r="P6" s="72" t="s">
        <v>40</v>
      </c>
      <c r="Q6" s="72" t="s">
        <v>534</v>
      </c>
      <c r="R6" s="72" t="s">
        <v>41</v>
      </c>
      <c r="S6" s="72" t="s">
        <v>42</v>
      </c>
      <c r="T6" s="72" t="s">
        <v>43</v>
      </c>
      <c r="U6" s="72" t="s">
        <v>44</v>
      </c>
      <c r="V6" s="72" t="s">
        <v>45</v>
      </c>
      <c r="W6" s="72" t="s">
        <v>46</v>
      </c>
      <c r="X6" s="72" t="s">
        <v>47</v>
      </c>
      <c r="Y6" s="72" t="s">
        <v>48</v>
      </c>
      <c r="Z6" s="72" t="s">
        <v>49</v>
      </c>
      <c r="AA6" s="72" t="s">
        <v>50</v>
      </c>
      <c r="AB6" s="72" t="s">
        <v>51</v>
      </c>
      <c r="AC6" s="72" t="s">
        <v>52</v>
      </c>
      <c r="AD6" s="54" t="s">
        <v>53</v>
      </c>
      <c r="AE6" s="54" t="s">
        <v>54</v>
      </c>
      <c r="AF6" s="73">
        <v>36000000</v>
      </c>
      <c r="AG6" s="73">
        <v>10000000</v>
      </c>
      <c r="AH6" s="68" t="s">
        <v>55</v>
      </c>
      <c r="AI6" s="68" t="s">
        <v>56</v>
      </c>
      <c r="AJ6" s="68" t="s">
        <v>57</v>
      </c>
      <c r="AK6" s="68" t="s">
        <v>58</v>
      </c>
      <c r="AL6" s="68" t="s">
        <v>59</v>
      </c>
      <c r="AM6" s="68" t="s">
        <v>60</v>
      </c>
      <c r="AN6" s="68" t="s">
        <v>61</v>
      </c>
    </row>
    <row r="7" spans="1:40" ht="54" customHeight="1" x14ac:dyDescent="0.2">
      <c r="A7" s="37">
        <v>1</v>
      </c>
      <c r="B7" s="15">
        <v>2024</v>
      </c>
      <c r="C7" s="15" t="s">
        <v>140</v>
      </c>
      <c r="D7" s="15">
        <v>10</v>
      </c>
      <c r="E7" s="15">
        <v>1</v>
      </c>
      <c r="F7" s="37" t="s">
        <v>63</v>
      </c>
      <c r="G7" s="17" t="s">
        <v>225</v>
      </c>
      <c r="H7" s="38" t="s">
        <v>226</v>
      </c>
      <c r="I7" s="15"/>
      <c r="J7" s="16"/>
      <c r="K7" s="16"/>
      <c r="L7" s="16"/>
      <c r="M7" s="16"/>
      <c r="N7" s="16"/>
      <c r="O7" s="15">
        <v>0</v>
      </c>
      <c r="P7" s="16"/>
      <c r="Q7" s="15">
        <v>1</v>
      </c>
      <c r="R7" s="17" t="s">
        <v>227</v>
      </c>
      <c r="S7" s="16"/>
      <c r="T7" s="15"/>
      <c r="U7" s="16" t="s">
        <v>228</v>
      </c>
      <c r="V7" s="16"/>
      <c r="W7" s="16">
        <v>2695061</v>
      </c>
      <c r="X7" s="18" t="s">
        <v>229</v>
      </c>
      <c r="Y7" s="17" t="s">
        <v>230</v>
      </c>
      <c r="Z7" s="33" t="s">
        <v>144</v>
      </c>
      <c r="AA7" s="33" t="s">
        <v>185</v>
      </c>
      <c r="AB7" s="33">
        <v>1</v>
      </c>
      <c r="AC7" s="16" t="s">
        <v>829</v>
      </c>
      <c r="AD7" s="63">
        <v>1543240</v>
      </c>
      <c r="AE7" s="43"/>
      <c r="AF7" s="74" t="s">
        <v>231</v>
      </c>
      <c r="AG7" s="75"/>
      <c r="AH7" s="114">
        <v>2024</v>
      </c>
      <c r="AI7" s="115" t="s">
        <v>232</v>
      </c>
      <c r="AJ7" s="115" t="s">
        <v>233</v>
      </c>
      <c r="AK7" s="115" t="s">
        <v>234</v>
      </c>
      <c r="AL7" s="115" t="s">
        <v>235</v>
      </c>
      <c r="AM7" s="116" t="s">
        <v>236</v>
      </c>
      <c r="AN7" s="115">
        <v>2</v>
      </c>
    </row>
    <row r="8" spans="1:40" ht="52.5" customHeight="1" x14ac:dyDescent="0.2">
      <c r="A8" s="37">
        <v>2</v>
      </c>
      <c r="B8" s="15">
        <v>2023</v>
      </c>
      <c r="C8" s="15" t="s">
        <v>140</v>
      </c>
      <c r="D8" s="15">
        <v>10</v>
      </c>
      <c r="E8" s="15">
        <v>1</v>
      </c>
      <c r="F8" s="96" t="s">
        <v>9</v>
      </c>
      <c r="G8" s="17" t="s">
        <v>237</v>
      </c>
      <c r="H8" s="38" t="s">
        <v>238</v>
      </c>
      <c r="I8" s="33"/>
      <c r="J8" s="17"/>
      <c r="K8" s="17"/>
      <c r="L8" s="17"/>
      <c r="M8" s="17"/>
      <c r="N8" s="17"/>
      <c r="O8" s="33">
        <v>0</v>
      </c>
      <c r="P8" s="17"/>
      <c r="Q8" s="33">
        <v>1</v>
      </c>
      <c r="R8" s="17" t="s">
        <v>227</v>
      </c>
      <c r="S8" s="17"/>
      <c r="T8" s="33"/>
      <c r="U8" s="16" t="s">
        <v>228</v>
      </c>
      <c r="V8" s="16"/>
      <c r="W8" s="17">
        <v>2713462</v>
      </c>
      <c r="X8" s="18">
        <v>45295</v>
      </c>
      <c r="Y8" s="16" t="s">
        <v>239</v>
      </c>
      <c r="Z8" s="33" t="s">
        <v>144</v>
      </c>
      <c r="AA8" s="33" t="s">
        <v>185</v>
      </c>
      <c r="AB8" s="33">
        <v>2</v>
      </c>
      <c r="AC8" s="64" t="s">
        <v>222</v>
      </c>
      <c r="AD8" s="65">
        <v>2507659</v>
      </c>
      <c r="AE8" s="44"/>
      <c r="AF8" s="74" t="s">
        <v>231</v>
      </c>
      <c r="AG8" s="75"/>
      <c r="AH8" s="117">
        <v>2024</v>
      </c>
      <c r="AI8" s="118" t="s">
        <v>240</v>
      </c>
      <c r="AJ8" s="119" t="s">
        <v>241</v>
      </c>
      <c r="AK8" s="118" t="s">
        <v>132</v>
      </c>
      <c r="AL8" s="118" t="s">
        <v>235</v>
      </c>
      <c r="AM8" s="119" t="s">
        <v>242</v>
      </c>
      <c r="AN8" s="118">
        <v>2</v>
      </c>
    </row>
    <row r="9" spans="1:40" ht="37" customHeight="1" x14ac:dyDescent="0.2">
      <c r="A9" s="37">
        <v>3</v>
      </c>
      <c r="B9" s="15">
        <v>2024</v>
      </c>
      <c r="C9" s="15">
        <v>4</v>
      </c>
      <c r="D9" s="15">
        <v>4</v>
      </c>
      <c r="E9" s="15"/>
      <c r="F9" s="96" t="s">
        <v>105</v>
      </c>
      <c r="G9" s="17" t="s">
        <v>243</v>
      </c>
      <c r="H9" s="17" t="s">
        <v>244</v>
      </c>
      <c r="I9" s="33"/>
      <c r="J9" s="17"/>
      <c r="K9" s="17"/>
      <c r="L9" s="17"/>
      <c r="M9" s="17"/>
      <c r="N9" s="17"/>
      <c r="O9" s="33">
        <v>0</v>
      </c>
      <c r="P9" s="17"/>
      <c r="Q9" s="33">
        <v>1</v>
      </c>
      <c r="R9" s="17" t="s">
        <v>245</v>
      </c>
      <c r="S9" s="17"/>
      <c r="T9" s="33"/>
      <c r="U9" s="16" t="s">
        <v>228</v>
      </c>
      <c r="V9" s="16"/>
      <c r="W9" s="35" t="s">
        <v>246</v>
      </c>
      <c r="X9" s="18">
        <v>45282</v>
      </c>
      <c r="Y9" s="16" t="s">
        <v>161</v>
      </c>
      <c r="Z9" s="33" t="s">
        <v>144</v>
      </c>
      <c r="AA9" s="33" t="s">
        <v>162</v>
      </c>
      <c r="AB9" s="33">
        <v>3</v>
      </c>
      <c r="AC9" s="17" t="s">
        <v>223</v>
      </c>
      <c r="AD9" s="65">
        <v>1925452</v>
      </c>
      <c r="AE9" s="44"/>
      <c r="AF9" s="74" t="s">
        <v>231</v>
      </c>
      <c r="AG9" s="75"/>
      <c r="AH9" s="117">
        <v>2024</v>
      </c>
      <c r="AI9" s="118" t="s">
        <v>247</v>
      </c>
      <c r="AJ9" s="119" t="s">
        <v>248</v>
      </c>
      <c r="AK9" s="118" t="s">
        <v>166</v>
      </c>
      <c r="AL9" s="118" t="s">
        <v>235</v>
      </c>
      <c r="AM9" s="119" t="s">
        <v>249</v>
      </c>
      <c r="AN9" s="118">
        <v>2</v>
      </c>
    </row>
    <row r="10" spans="1:40" ht="32.5" customHeight="1" x14ac:dyDescent="0.2">
      <c r="A10" s="37">
        <v>4</v>
      </c>
      <c r="B10" s="15">
        <v>2024</v>
      </c>
      <c r="C10" s="15" t="s">
        <v>250</v>
      </c>
      <c r="D10" s="15">
        <v>10</v>
      </c>
      <c r="E10" s="15">
        <v>1</v>
      </c>
      <c r="F10" s="96" t="s">
        <v>105</v>
      </c>
      <c r="G10" s="17" t="s">
        <v>251</v>
      </c>
      <c r="H10" s="16" t="s">
        <v>252</v>
      </c>
      <c r="I10" s="33"/>
      <c r="J10" s="17"/>
      <c r="K10" s="17"/>
      <c r="L10" s="17"/>
      <c r="M10" s="17"/>
      <c r="N10" s="17"/>
      <c r="O10" s="33">
        <v>0</v>
      </c>
      <c r="P10" s="17"/>
      <c r="Q10" s="33">
        <v>1</v>
      </c>
      <c r="R10" s="17" t="s">
        <v>253</v>
      </c>
      <c r="S10" s="17"/>
      <c r="T10" s="33"/>
      <c r="U10" s="16" t="s">
        <v>228</v>
      </c>
      <c r="V10" s="16"/>
      <c r="W10" s="17">
        <v>370</v>
      </c>
      <c r="X10" s="18">
        <v>45321</v>
      </c>
      <c r="Y10" s="16" t="s">
        <v>254</v>
      </c>
      <c r="Z10" s="33" t="s">
        <v>144</v>
      </c>
      <c r="AA10" s="33" t="s">
        <v>185</v>
      </c>
      <c r="AB10" s="33">
        <v>4</v>
      </c>
      <c r="AC10" s="32">
        <v>600000</v>
      </c>
      <c r="AD10" s="65">
        <v>600000</v>
      </c>
      <c r="AE10" s="44"/>
      <c r="AF10" s="74" t="s">
        <v>231</v>
      </c>
      <c r="AG10" s="75"/>
      <c r="AH10" s="117" t="s">
        <v>255</v>
      </c>
      <c r="AI10" s="118" t="s">
        <v>256</v>
      </c>
      <c r="AJ10" s="119" t="s">
        <v>257</v>
      </c>
      <c r="AK10" s="118" t="s">
        <v>258</v>
      </c>
      <c r="AL10" s="118" t="s">
        <v>235</v>
      </c>
      <c r="AM10" s="119" t="s">
        <v>259</v>
      </c>
      <c r="AN10" s="118">
        <v>2</v>
      </c>
    </row>
    <row r="11" spans="1:40" ht="32" x14ac:dyDescent="0.2">
      <c r="A11" s="37">
        <v>5</v>
      </c>
      <c r="B11" s="15">
        <v>2024</v>
      </c>
      <c r="C11" s="15">
        <v>5</v>
      </c>
      <c r="D11" s="15">
        <v>5</v>
      </c>
      <c r="E11" s="15"/>
      <c r="F11" s="37" t="s">
        <v>63</v>
      </c>
      <c r="G11" s="17" t="s">
        <v>260</v>
      </c>
      <c r="H11" s="39" t="s">
        <v>261</v>
      </c>
      <c r="I11" s="33"/>
      <c r="J11" s="17"/>
      <c r="K11" s="17"/>
      <c r="L11" s="17"/>
      <c r="M11" s="17"/>
      <c r="N11" s="17"/>
      <c r="O11" s="33">
        <v>0</v>
      </c>
      <c r="P11" s="17"/>
      <c r="Q11" s="33">
        <v>0</v>
      </c>
      <c r="R11" s="17"/>
      <c r="S11" s="17"/>
      <c r="T11" s="33"/>
      <c r="U11" s="16" t="s">
        <v>228</v>
      </c>
      <c r="V11" s="16"/>
      <c r="W11" s="35" t="s">
        <v>262</v>
      </c>
      <c r="X11" s="18">
        <v>45436</v>
      </c>
      <c r="Y11" s="17" t="s">
        <v>263</v>
      </c>
      <c r="Z11" s="33" t="s">
        <v>144</v>
      </c>
      <c r="AA11" s="33" t="s">
        <v>185</v>
      </c>
      <c r="AB11" s="33">
        <v>5</v>
      </c>
      <c r="AC11" s="34">
        <v>3295</v>
      </c>
      <c r="AD11" s="44">
        <f>AC11*910.79</f>
        <v>3001053.05</v>
      </c>
      <c r="AE11" s="44"/>
      <c r="AF11" s="75">
        <f>AF6-AD11</f>
        <v>32998946.949999999</v>
      </c>
      <c r="AG11" s="76"/>
      <c r="AH11" s="117">
        <v>2024</v>
      </c>
      <c r="AI11" s="118" t="s">
        <v>264</v>
      </c>
      <c r="AJ11" s="119" t="s">
        <v>265</v>
      </c>
      <c r="AK11" s="118" t="s">
        <v>266</v>
      </c>
      <c r="AL11" s="118" t="s">
        <v>235</v>
      </c>
      <c r="AM11" s="119" t="s">
        <v>267</v>
      </c>
      <c r="AN11" s="118">
        <v>2</v>
      </c>
    </row>
    <row r="12" spans="1:40" ht="63.5" customHeight="1" x14ac:dyDescent="0.2">
      <c r="A12" s="37">
        <v>6</v>
      </c>
      <c r="B12" s="15">
        <v>2024</v>
      </c>
      <c r="C12" s="15">
        <v>3</v>
      </c>
      <c r="D12" s="15">
        <v>3</v>
      </c>
      <c r="E12" s="15"/>
      <c r="F12" s="96" t="s">
        <v>9</v>
      </c>
      <c r="G12" s="17" t="s">
        <v>268</v>
      </c>
      <c r="H12" s="17" t="s">
        <v>269</v>
      </c>
      <c r="I12" s="33"/>
      <c r="J12" s="17"/>
      <c r="K12" s="17"/>
      <c r="L12" s="17"/>
      <c r="M12" s="17"/>
      <c r="N12" s="17"/>
      <c r="O12" s="33">
        <v>0</v>
      </c>
      <c r="P12" s="17"/>
      <c r="Q12" s="33">
        <v>1</v>
      </c>
      <c r="R12" s="17" t="s">
        <v>270</v>
      </c>
      <c r="S12" s="17"/>
      <c r="T12" s="33"/>
      <c r="U12" s="16" t="s">
        <v>228</v>
      </c>
      <c r="V12" s="16"/>
      <c r="W12" s="17">
        <v>2890573</v>
      </c>
      <c r="X12" s="18">
        <v>45415</v>
      </c>
      <c r="Y12" s="17" t="s">
        <v>271</v>
      </c>
      <c r="Z12" s="33" t="s">
        <v>144</v>
      </c>
      <c r="AA12" s="33" t="s">
        <v>272</v>
      </c>
      <c r="AB12" s="33">
        <v>6</v>
      </c>
      <c r="AC12" s="34">
        <v>3174.19</v>
      </c>
      <c r="AD12" s="44">
        <v>2890847</v>
      </c>
      <c r="AE12" s="44"/>
      <c r="AF12" s="75">
        <f>AF11-AD12</f>
        <v>30108099.949999999</v>
      </c>
      <c r="AG12" s="75"/>
      <c r="AH12" s="117" t="s">
        <v>273</v>
      </c>
      <c r="AI12" s="118" t="s">
        <v>274</v>
      </c>
      <c r="AJ12" s="119" t="s">
        <v>275</v>
      </c>
      <c r="AK12" s="118" t="s">
        <v>276</v>
      </c>
      <c r="AL12" s="118" t="s">
        <v>235</v>
      </c>
      <c r="AM12" s="119" t="s">
        <v>277</v>
      </c>
      <c r="AN12" s="118">
        <v>2</v>
      </c>
    </row>
    <row r="13" spans="1:40" ht="48" x14ac:dyDescent="0.2">
      <c r="A13" s="37">
        <v>7</v>
      </c>
      <c r="B13" s="15">
        <v>2024</v>
      </c>
      <c r="C13" s="15">
        <v>4</v>
      </c>
      <c r="D13" s="15">
        <v>4</v>
      </c>
      <c r="E13" s="15"/>
      <c r="F13" s="96" t="s">
        <v>9</v>
      </c>
      <c r="G13" s="17" t="s">
        <v>278</v>
      </c>
      <c r="H13" s="17" t="s">
        <v>279</v>
      </c>
      <c r="I13" s="33"/>
      <c r="J13" s="17"/>
      <c r="K13" s="17"/>
      <c r="L13" s="17"/>
      <c r="M13" s="17"/>
      <c r="N13" s="17"/>
      <c r="O13" s="33">
        <v>0</v>
      </c>
      <c r="P13" s="17"/>
      <c r="Q13" s="33">
        <v>1</v>
      </c>
      <c r="R13" s="179" t="s">
        <v>280</v>
      </c>
      <c r="S13" s="17"/>
      <c r="T13" s="33"/>
      <c r="U13" s="16" t="s">
        <v>173</v>
      </c>
      <c r="V13" s="16"/>
      <c r="W13" s="17">
        <v>1452656405</v>
      </c>
      <c r="X13" s="18">
        <v>45398</v>
      </c>
      <c r="Y13" s="17" t="s">
        <v>281</v>
      </c>
      <c r="Z13" s="41" t="s">
        <v>144</v>
      </c>
      <c r="AA13" s="47" t="s">
        <v>282</v>
      </c>
      <c r="AB13" s="48">
        <v>7</v>
      </c>
      <c r="AC13" s="34">
        <v>2665</v>
      </c>
      <c r="AD13" s="44">
        <f>AC13*922.58</f>
        <v>2458675.7000000002</v>
      </c>
      <c r="AE13" s="44"/>
      <c r="AF13" s="75">
        <f t="shared" ref="AF13:AF37" si="0">AF12-AD13</f>
        <v>27649424.25</v>
      </c>
      <c r="AG13" s="75"/>
      <c r="AH13" s="117">
        <v>2024</v>
      </c>
      <c r="AI13" s="118" t="s">
        <v>283</v>
      </c>
      <c r="AJ13" s="119" t="s">
        <v>284</v>
      </c>
      <c r="AK13" s="118" t="s">
        <v>285</v>
      </c>
      <c r="AL13" s="118" t="s">
        <v>235</v>
      </c>
      <c r="AM13" s="119" t="s">
        <v>286</v>
      </c>
      <c r="AN13" s="118">
        <v>2</v>
      </c>
    </row>
    <row r="14" spans="1:40" ht="41" customHeight="1" x14ac:dyDescent="0.2">
      <c r="A14" s="37">
        <v>8</v>
      </c>
      <c r="B14" s="15">
        <v>2024</v>
      </c>
      <c r="C14" s="15">
        <v>2</v>
      </c>
      <c r="D14" s="15">
        <v>2</v>
      </c>
      <c r="E14" s="15"/>
      <c r="F14" s="96" t="s">
        <v>63</v>
      </c>
      <c r="G14" s="46" t="s">
        <v>287</v>
      </c>
      <c r="H14" s="17" t="s">
        <v>288</v>
      </c>
      <c r="I14" s="33"/>
      <c r="J14" s="17"/>
      <c r="K14" s="17"/>
      <c r="L14" s="17"/>
      <c r="M14" s="17"/>
      <c r="N14" s="17"/>
      <c r="O14" s="33">
        <v>1</v>
      </c>
      <c r="P14" s="129" t="s">
        <v>289</v>
      </c>
      <c r="Q14" s="210">
        <v>0</v>
      </c>
      <c r="R14" s="17"/>
      <c r="S14" s="17"/>
      <c r="T14" s="33"/>
      <c r="U14" s="16" t="s">
        <v>173</v>
      </c>
      <c r="V14" s="16"/>
      <c r="W14" s="17"/>
      <c r="X14" s="18"/>
      <c r="Y14" s="16" t="s">
        <v>290</v>
      </c>
      <c r="Z14" s="15" t="s">
        <v>67</v>
      </c>
      <c r="AA14" s="15"/>
      <c r="AB14" s="15"/>
      <c r="AC14" s="17"/>
      <c r="AD14" s="44"/>
      <c r="AE14" s="44"/>
      <c r="AF14" s="75">
        <f t="shared" si="0"/>
        <v>27649424.25</v>
      </c>
      <c r="AG14" s="17"/>
      <c r="AH14" s="117">
        <v>2024</v>
      </c>
      <c r="AI14" s="120">
        <v>4010047</v>
      </c>
      <c r="AJ14" s="119" t="s">
        <v>291</v>
      </c>
      <c r="AK14" s="118" t="s">
        <v>292</v>
      </c>
      <c r="AL14" s="118" t="s">
        <v>235</v>
      </c>
      <c r="AM14" s="119" t="s">
        <v>293</v>
      </c>
      <c r="AN14" s="118">
        <v>2</v>
      </c>
    </row>
    <row r="15" spans="1:40" ht="76.5" customHeight="1" x14ac:dyDescent="0.2">
      <c r="A15" s="37">
        <v>9</v>
      </c>
      <c r="B15" s="15">
        <v>2024</v>
      </c>
      <c r="C15" s="15" t="s">
        <v>294</v>
      </c>
      <c r="D15" s="15">
        <v>10</v>
      </c>
      <c r="E15" s="15">
        <v>1</v>
      </c>
      <c r="F15" s="96" t="s">
        <v>63</v>
      </c>
      <c r="G15" s="46" t="s">
        <v>295</v>
      </c>
      <c r="H15" s="17" t="s">
        <v>296</v>
      </c>
      <c r="I15" s="33"/>
      <c r="J15" s="17"/>
      <c r="K15" s="17"/>
      <c r="L15" s="17"/>
      <c r="M15" s="17"/>
      <c r="N15" s="17"/>
      <c r="O15" s="33">
        <v>0</v>
      </c>
      <c r="P15" s="17"/>
      <c r="Q15" s="33">
        <v>1</v>
      </c>
      <c r="R15" s="17" t="s">
        <v>297</v>
      </c>
      <c r="S15" s="17"/>
      <c r="T15" s="33"/>
      <c r="U15" s="16" t="s">
        <v>173</v>
      </c>
      <c r="V15" s="16"/>
      <c r="W15" s="17"/>
      <c r="X15" s="18"/>
      <c r="Y15" s="17" t="s">
        <v>75</v>
      </c>
      <c r="Z15" s="15" t="s">
        <v>67</v>
      </c>
      <c r="AA15" s="15"/>
      <c r="AB15" s="15"/>
      <c r="AC15" s="17"/>
      <c r="AD15" s="44"/>
      <c r="AE15" s="44"/>
      <c r="AF15" s="75">
        <f t="shared" si="0"/>
        <v>27649424.25</v>
      </c>
      <c r="AG15" s="17"/>
      <c r="AH15" s="117">
        <v>2024</v>
      </c>
      <c r="AI15" s="118" t="s">
        <v>298</v>
      </c>
      <c r="AJ15" s="119" t="s">
        <v>299</v>
      </c>
      <c r="AK15" s="121" t="s">
        <v>87</v>
      </c>
      <c r="AL15" s="118" t="s">
        <v>235</v>
      </c>
      <c r="AM15" s="119" t="s">
        <v>300</v>
      </c>
      <c r="AN15" s="118">
        <v>2</v>
      </c>
    </row>
    <row r="16" spans="1:40" ht="54.75" customHeight="1" x14ac:dyDescent="0.2">
      <c r="A16" s="37">
        <v>10</v>
      </c>
      <c r="B16" s="15">
        <v>2024</v>
      </c>
      <c r="C16" s="15">
        <v>3</v>
      </c>
      <c r="D16" s="15">
        <v>3</v>
      </c>
      <c r="E16" s="15"/>
      <c r="F16" s="96" t="s">
        <v>105</v>
      </c>
      <c r="G16" s="46" t="s">
        <v>309</v>
      </c>
      <c r="H16" s="17" t="s">
        <v>310</v>
      </c>
      <c r="I16" s="33"/>
      <c r="J16" s="17"/>
      <c r="K16" s="17"/>
      <c r="L16" s="17"/>
      <c r="M16" s="17"/>
      <c r="N16" s="17"/>
      <c r="O16" s="33">
        <v>0</v>
      </c>
      <c r="P16" s="17"/>
      <c r="Q16" s="33">
        <v>1</v>
      </c>
      <c r="R16" s="17" t="s">
        <v>311</v>
      </c>
      <c r="S16" s="17"/>
      <c r="T16" s="33"/>
      <c r="U16" s="16" t="s">
        <v>173</v>
      </c>
      <c r="V16" s="16"/>
      <c r="W16" s="17"/>
      <c r="X16" s="18"/>
      <c r="Y16" s="17"/>
      <c r="Z16" s="15" t="s">
        <v>67</v>
      </c>
      <c r="AA16" s="15"/>
      <c r="AB16" s="15"/>
      <c r="AC16" s="17"/>
      <c r="AD16" s="44"/>
      <c r="AE16" s="44"/>
      <c r="AF16" s="75">
        <f t="shared" si="0"/>
        <v>27649424.25</v>
      </c>
      <c r="AG16" s="17"/>
      <c r="AH16" s="117" t="s">
        <v>312</v>
      </c>
      <c r="AI16" s="118">
        <v>25</v>
      </c>
      <c r="AJ16" s="119" t="s">
        <v>313</v>
      </c>
      <c r="AK16" s="118" t="s">
        <v>276</v>
      </c>
      <c r="AL16" s="118" t="s">
        <v>235</v>
      </c>
      <c r="AM16" s="119" t="s">
        <v>314</v>
      </c>
      <c r="AN16" s="118">
        <v>2</v>
      </c>
    </row>
    <row r="17" spans="1:41" ht="44.5" customHeight="1" x14ac:dyDescent="0.2">
      <c r="A17" s="37">
        <v>11</v>
      </c>
      <c r="B17" s="15">
        <v>2023</v>
      </c>
      <c r="C17" s="15" t="s">
        <v>80</v>
      </c>
      <c r="D17" s="15">
        <v>10</v>
      </c>
      <c r="E17" s="15">
        <v>1</v>
      </c>
      <c r="F17" s="96" t="s">
        <v>9</v>
      </c>
      <c r="G17" s="46" t="s">
        <v>315</v>
      </c>
      <c r="H17" s="17" t="s">
        <v>316</v>
      </c>
      <c r="I17" s="33"/>
      <c r="J17" s="17"/>
      <c r="K17" s="17"/>
      <c r="L17" s="17"/>
      <c r="M17" s="17"/>
      <c r="N17" s="17"/>
      <c r="O17" s="33">
        <v>1</v>
      </c>
      <c r="P17" s="17" t="s">
        <v>317</v>
      </c>
      <c r="Q17" s="33">
        <v>0</v>
      </c>
      <c r="R17" s="17"/>
      <c r="S17" s="17"/>
      <c r="T17" s="33"/>
      <c r="U17" s="16" t="s">
        <v>173</v>
      </c>
      <c r="V17" s="16"/>
      <c r="W17" s="17"/>
      <c r="X17" s="18"/>
      <c r="Y17" s="16" t="s">
        <v>318</v>
      </c>
      <c r="Z17" s="15" t="s">
        <v>67</v>
      </c>
      <c r="AA17" s="15"/>
      <c r="AB17" s="15"/>
      <c r="AC17" s="17"/>
      <c r="AD17" s="44"/>
      <c r="AE17" s="44"/>
      <c r="AF17" s="75">
        <f t="shared" si="0"/>
        <v>27649424.25</v>
      </c>
      <c r="AG17" s="17"/>
      <c r="AH17" s="117">
        <v>2023</v>
      </c>
      <c r="AI17" s="118" t="s">
        <v>319</v>
      </c>
      <c r="AJ17" s="119" t="s">
        <v>320</v>
      </c>
      <c r="AK17" s="118" t="s">
        <v>321</v>
      </c>
      <c r="AL17" s="118" t="s">
        <v>235</v>
      </c>
      <c r="AM17" s="119" t="s">
        <v>322</v>
      </c>
      <c r="AN17" s="118">
        <v>2</v>
      </c>
    </row>
    <row r="18" spans="1:41" ht="100.5" customHeight="1" x14ac:dyDescent="0.2">
      <c r="A18" s="37">
        <v>12</v>
      </c>
      <c r="B18" s="15">
        <v>2024</v>
      </c>
      <c r="C18" s="15" t="s">
        <v>80</v>
      </c>
      <c r="D18" s="15">
        <v>10</v>
      </c>
      <c r="E18" s="15">
        <v>1</v>
      </c>
      <c r="F18" s="96" t="s">
        <v>9</v>
      </c>
      <c r="G18" s="46" t="s">
        <v>323</v>
      </c>
      <c r="H18" s="17" t="s">
        <v>751</v>
      </c>
      <c r="I18" s="33"/>
      <c r="J18" s="17"/>
      <c r="K18" s="17"/>
      <c r="L18" s="17"/>
      <c r="M18" s="17"/>
      <c r="N18" s="17"/>
      <c r="O18" s="33">
        <v>1</v>
      </c>
      <c r="P18" s="22" t="s">
        <v>324</v>
      </c>
      <c r="Q18" s="211">
        <v>1</v>
      </c>
      <c r="R18" s="22" t="s">
        <v>325</v>
      </c>
      <c r="S18" s="17"/>
      <c r="T18" s="33"/>
      <c r="U18" s="16" t="s">
        <v>173</v>
      </c>
      <c r="V18" s="16"/>
      <c r="W18" s="17"/>
      <c r="X18" s="18"/>
      <c r="Y18" s="17" t="s">
        <v>326</v>
      </c>
      <c r="Z18" s="15" t="s">
        <v>327</v>
      </c>
      <c r="AA18" s="15" t="s">
        <v>328</v>
      </c>
      <c r="AB18" s="15">
        <v>8</v>
      </c>
      <c r="AC18" s="77" t="s">
        <v>329</v>
      </c>
      <c r="AD18" s="97">
        <f>1465*910.79</f>
        <v>1334307.3499999999</v>
      </c>
      <c r="AE18" s="44"/>
      <c r="AF18" s="75">
        <f t="shared" si="0"/>
        <v>26315116.899999999</v>
      </c>
      <c r="AG18" s="17"/>
      <c r="AH18" s="46">
        <v>2024</v>
      </c>
      <c r="AI18" s="46" t="s">
        <v>330</v>
      </c>
      <c r="AJ18" s="125" t="s">
        <v>331</v>
      </c>
      <c r="AK18" s="46" t="s">
        <v>332</v>
      </c>
      <c r="AL18" s="46"/>
      <c r="AM18" s="126" t="s">
        <v>333</v>
      </c>
      <c r="AN18" s="46">
        <v>2</v>
      </c>
      <c r="AO18" s="124"/>
    </row>
    <row r="19" spans="1:41" ht="48" x14ac:dyDescent="0.2">
      <c r="A19" s="37">
        <v>13</v>
      </c>
      <c r="B19" s="15">
        <v>2024</v>
      </c>
      <c r="C19" s="15">
        <v>3</v>
      </c>
      <c r="D19" s="15">
        <v>3</v>
      </c>
      <c r="E19" s="15"/>
      <c r="F19" s="37" t="s">
        <v>9</v>
      </c>
      <c r="G19" s="17" t="s">
        <v>334</v>
      </c>
      <c r="H19" s="46" t="s">
        <v>335</v>
      </c>
      <c r="I19" s="15"/>
      <c r="J19" s="16"/>
      <c r="K19" s="16"/>
      <c r="L19" s="16"/>
      <c r="M19" s="16"/>
      <c r="N19" s="16"/>
      <c r="O19" s="15"/>
      <c r="P19" s="16"/>
      <c r="Q19" s="15">
        <v>1</v>
      </c>
      <c r="R19" s="17" t="s">
        <v>862</v>
      </c>
      <c r="S19" s="16"/>
      <c r="T19" s="15"/>
      <c r="U19" s="16" t="s">
        <v>173</v>
      </c>
      <c r="V19" s="16"/>
      <c r="W19" s="16"/>
      <c r="X19" s="16"/>
      <c r="Y19" s="17" t="s">
        <v>336</v>
      </c>
      <c r="Z19" s="15" t="s">
        <v>327</v>
      </c>
      <c r="AA19" s="15" t="s">
        <v>337</v>
      </c>
      <c r="AB19" s="15">
        <v>9</v>
      </c>
      <c r="AC19" s="16" t="s">
        <v>338</v>
      </c>
      <c r="AD19" s="43">
        <f>1460.18*910.79</f>
        <v>1329917.3422000001</v>
      </c>
      <c r="AE19" s="45"/>
      <c r="AF19" s="75">
        <f t="shared" si="0"/>
        <v>24985199.557799999</v>
      </c>
      <c r="AG19" s="16"/>
      <c r="AH19" s="114">
        <v>2024</v>
      </c>
      <c r="AI19" s="115" t="s">
        <v>339</v>
      </c>
      <c r="AJ19" s="116" t="s">
        <v>340</v>
      </c>
      <c r="AK19" s="115" t="s">
        <v>341</v>
      </c>
      <c r="AL19" s="115" t="s">
        <v>235</v>
      </c>
      <c r="AM19" s="116" t="s">
        <v>342</v>
      </c>
      <c r="AN19" s="115">
        <v>2</v>
      </c>
    </row>
    <row r="20" spans="1:41" ht="100" customHeight="1" x14ac:dyDescent="0.2">
      <c r="A20" s="37">
        <v>14</v>
      </c>
      <c r="B20" s="15">
        <v>2024</v>
      </c>
      <c r="C20" s="15">
        <v>4</v>
      </c>
      <c r="D20" s="15">
        <v>4</v>
      </c>
      <c r="E20" s="15"/>
      <c r="F20" s="96" t="s">
        <v>105</v>
      </c>
      <c r="G20" s="17" t="s">
        <v>343</v>
      </c>
      <c r="H20" s="17" t="s">
        <v>344</v>
      </c>
      <c r="I20" s="33"/>
      <c r="J20" s="17"/>
      <c r="K20" s="17"/>
      <c r="L20" s="17"/>
      <c r="M20" s="17"/>
      <c r="N20" s="17"/>
      <c r="O20" s="33">
        <v>1</v>
      </c>
      <c r="P20" s="17" t="s">
        <v>345</v>
      </c>
      <c r="Q20" s="33">
        <v>1</v>
      </c>
      <c r="R20" s="17" t="s">
        <v>863</v>
      </c>
      <c r="S20" s="17"/>
      <c r="T20" s="33"/>
      <c r="U20" s="16" t="s">
        <v>173</v>
      </c>
      <c r="V20" s="16"/>
      <c r="W20" s="17"/>
      <c r="X20" s="18"/>
      <c r="Y20" s="17" t="s">
        <v>346</v>
      </c>
      <c r="Z20" s="15" t="s">
        <v>144</v>
      </c>
      <c r="AA20" s="15" t="s">
        <v>162</v>
      </c>
      <c r="AB20" s="15">
        <v>10</v>
      </c>
      <c r="AC20" s="17" t="s">
        <v>347</v>
      </c>
      <c r="AD20" s="44">
        <f>2387*910.79</f>
        <v>2174055.73</v>
      </c>
      <c r="AE20" s="44"/>
      <c r="AF20" s="75">
        <f t="shared" si="0"/>
        <v>22811143.827799998</v>
      </c>
      <c r="AG20" s="17"/>
      <c r="AH20" s="117">
        <v>2024</v>
      </c>
      <c r="AI20" s="120">
        <v>19243</v>
      </c>
      <c r="AJ20" s="119" t="s">
        <v>348</v>
      </c>
      <c r="AK20" s="118" t="s">
        <v>349</v>
      </c>
      <c r="AL20" s="118" t="s">
        <v>235</v>
      </c>
      <c r="AM20" s="119" t="s">
        <v>350</v>
      </c>
      <c r="AN20" s="118">
        <v>2</v>
      </c>
    </row>
    <row r="21" spans="1:41" ht="70.5" customHeight="1" x14ac:dyDescent="0.2">
      <c r="A21" s="37">
        <v>15</v>
      </c>
      <c r="B21" s="15">
        <v>2024</v>
      </c>
      <c r="C21" s="15">
        <v>4</v>
      </c>
      <c r="D21" s="15">
        <v>4</v>
      </c>
      <c r="E21" s="15"/>
      <c r="F21" s="96" t="s">
        <v>63</v>
      </c>
      <c r="G21" s="17" t="s">
        <v>351</v>
      </c>
      <c r="H21" s="17" t="s">
        <v>352</v>
      </c>
      <c r="I21" s="33"/>
      <c r="J21" s="17"/>
      <c r="K21" s="17"/>
      <c r="L21" s="17"/>
      <c r="M21" s="17"/>
      <c r="N21" s="17"/>
      <c r="O21" s="33">
        <v>1</v>
      </c>
      <c r="P21" s="17" t="s">
        <v>353</v>
      </c>
      <c r="Q21" s="33"/>
      <c r="R21" s="17"/>
      <c r="S21" s="17"/>
      <c r="T21" s="33"/>
      <c r="U21" s="16" t="s">
        <v>173</v>
      </c>
      <c r="V21" s="16"/>
      <c r="W21" s="17"/>
      <c r="X21" s="18"/>
      <c r="Y21" s="17" t="s">
        <v>354</v>
      </c>
      <c r="Z21" s="15" t="s">
        <v>67</v>
      </c>
      <c r="AA21" s="15"/>
      <c r="AB21" s="15"/>
      <c r="AC21" s="17"/>
      <c r="AD21" s="44"/>
      <c r="AE21" s="44"/>
      <c r="AF21" s="75">
        <f t="shared" si="0"/>
        <v>22811143.827799998</v>
      </c>
      <c r="AG21" s="17"/>
      <c r="AH21" s="117">
        <v>2023</v>
      </c>
      <c r="AI21" s="118" t="s">
        <v>355</v>
      </c>
      <c r="AJ21" s="122" t="s">
        <v>356</v>
      </c>
      <c r="AK21" s="118" t="s">
        <v>357</v>
      </c>
      <c r="AL21" s="118" t="s">
        <v>235</v>
      </c>
      <c r="AM21" s="119" t="s">
        <v>358</v>
      </c>
      <c r="AN21" s="118">
        <v>2</v>
      </c>
    </row>
    <row r="22" spans="1:41" ht="51.75" customHeight="1" x14ac:dyDescent="0.2">
      <c r="A22" s="37">
        <v>16</v>
      </c>
      <c r="B22" s="15">
        <v>2024</v>
      </c>
      <c r="C22" s="15">
        <v>3</v>
      </c>
      <c r="D22" s="15">
        <v>3</v>
      </c>
      <c r="E22" s="15"/>
      <c r="F22" s="96" t="s">
        <v>9</v>
      </c>
      <c r="G22" s="17" t="s">
        <v>359</v>
      </c>
      <c r="H22" s="129" t="s">
        <v>360</v>
      </c>
      <c r="I22" s="33"/>
      <c r="J22" s="17"/>
      <c r="K22" s="17"/>
      <c r="L22" s="17"/>
      <c r="M22" s="17"/>
      <c r="N22" s="17"/>
      <c r="O22" s="33">
        <v>1</v>
      </c>
      <c r="P22" s="17" t="s">
        <v>361</v>
      </c>
      <c r="Q22" s="33">
        <v>1</v>
      </c>
      <c r="R22" s="17" t="s">
        <v>362</v>
      </c>
      <c r="S22" s="17"/>
      <c r="T22" s="33"/>
      <c r="U22" s="16" t="s">
        <v>173</v>
      </c>
      <c r="V22" s="16"/>
      <c r="W22" s="17"/>
      <c r="X22" s="18"/>
      <c r="Y22" s="16" t="s">
        <v>363</v>
      </c>
      <c r="Z22" s="15" t="s">
        <v>67</v>
      </c>
      <c r="AA22" s="15"/>
      <c r="AB22" s="15"/>
      <c r="AC22" s="17"/>
      <c r="AD22" s="44"/>
      <c r="AE22" s="44"/>
      <c r="AF22" s="75">
        <f t="shared" si="0"/>
        <v>22811143.827799998</v>
      </c>
      <c r="AG22" s="17"/>
      <c r="AH22" s="117" t="s">
        <v>364</v>
      </c>
      <c r="AI22" s="118" t="s">
        <v>365</v>
      </c>
      <c r="AJ22" s="119" t="s">
        <v>366</v>
      </c>
      <c r="AK22" s="118" t="s">
        <v>367</v>
      </c>
      <c r="AL22" s="118" t="s">
        <v>235</v>
      </c>
      <c r="AM22" s="119" t="s">
        <v>368</v>
      </c>
      <c r="AN22" s="118">
        <v>2</v>
      </c>
      <c r="AO22" s="135"/>
    </row>
    <row r="23" spans="1:41" ht="48" x14ac:dyDescent="0.2">
      <c r="A23" s="37">
        <v>17</v>
      </c>
      <c r="B23" s="15">
        <v>2024</v>
      </c>
      <c r="C23" s="15">
        <v>3</v>
      </c>
      <c r="D23" s="15">
        <v>3</v>
      </c>
      <c r="E23" s="15"/>
      <c r="F23" s="96" t="s">
        <v>9</v>
      </c>
      <c r="G23" s="17" t="s">
        <v>369</v>
      </c>
      <c r="H23" s="17" t="s">
        <v>370</v>
      </c>
      <c r="I23" s="33"/>
      <c r="J23" s="17"/>
      <c r="K23" s="17"/>
      <c r="L23" s="17"/>
      <c r="M23" s="17"/>
      <c r="N23" s="17"/>
      <c r="O23" s="33">
        <v>0</v>
      </c>
      <c r="P23" s="17"/>
      <c r="Q23" s="33">
        <v>1</v>
      </c>
      <c r="R23" s="17" t="s">
        <v>371</v>
      </c>
      <c r="S23" s="17"/>
      <c r="T23" s="33"/>
      <c r="U23" s="16" t="s">
        <v>173</v>
      </c>
      <c r="V23" s="16"/>
      <c r="W23" s="17"/>
      <c r="X23" s="18"/>
      <c r="Y23" s="16" t="s">
        <v>372</v>
      </c>
      <c r="Z23" s="15" t="s">
        <v>67</v>
      </c>
      <c r="AA23" s="15"/>
      <c r="AB23" s="15"/>
      <c r="AC23" s="17"/>
      <c r="AD23" s="44"/>
      <c r="AE23" s="44"/>
      <c r="AF23" s="75">
        <f t="shared" si="0"/>
        <v>22811143.827799998</v>
      </c>
      <c r="AG23" s="17"/>
      <c r="AH23" s="123">
        <v>45569</v>
      </c>
      <c r="AI23" s="118" t="s">
        <v>373</v>
      </c>
      <c r="AJ23" s="119" t="s">
        <v>374</v>
      </c>
      <c r="AK23" s="118" t="s">
        <v>375</v>
      </c>
      <c r="AL23" s="118" t="s">
        <v>235</v>
      </c>
      <c r="AM23" s="119" t="s">
        <v>376</v>
      </c>
      <c r="AN23" s="118">
        <v>2</v>
      </c>
    </row>
    <row r="24" spans="1:41" ht="94.5" customHeight="1" x14ac:dyDescent="0.2">
      <c r="A24" s="37">
        <v>18</v>
      </c>
      <c r="B24" s="15">
        <v>2024</v>
      </c>
      <c r="C24" s="15">
        <v>3</v>
      </c>
      <c r="D24" s="15">
        <v>3</v>
      </c>
      <c r="E24" s="15"/>
      <c r="F24" s="96" t="s">
        <v>9</v>
      </c>
      <c r="G24" s="17" t="s">
        <v>377</v>
      </c>
      <c r="H24" s="17" t="s">
        <v>378</v>
      </c>
      <c r="I24" s="33"/>
      <c r="J24" s="17"/>
      <c r="K24" s="17"/>
      <c r="L24" s="17"/>
      <c r="M24" s="17"/>
      <c r="N24" s="17"/>
      <c r="O24" s="33">
        <v>1</v>
      </c>
      <c r="P24" s="17" t="s">
        <v>379</v>
      </c>
      <c r="Q24" s="33">
        <v>1</v>
      </c>
      <c r="R24" s="17" t="s">
        <v>380</v>
      </c>
      <c r="S24" s="17"/>
      <c r="T24" s="33"/>
      <c r="U24" s="16" t="s">
        <v>173</v>
      </c>
      <c r="V24" s="16"/>
      <c r="W24" s="17"/>
      <c r="X24" s="18"/>
      <c r="Y24" s="16" t="s">
        <v>381</v>
      </c>
      <c r="Z24" s="15" t="s">
        <v>67</v>
      </c>
      <c r="AA24" s="15"/>
      <c r="AB24" s="15"/>
      <c r="AC24" s="17"/>
      <c r="AD24" s="44"/>
      <c r="AE24" s="44"/>
      <c r="AF24" s="75">
        <f t="shared" si="0"/>
        <v>22811143.827799998</v>
      </c>
      <c r="AG24" s="17"/>
      <c r="AH24" s="123">
        <v>45539</v>
      </c>
      <c r="AI24" s="118" t="s">
        <v>382</v>
      </c>
      <c r="AJ24" s="119" t="s">
        <v>383</v>
      </c>
      <c r="AK24" s="118" t="s">
        <v>384</v>
      </c>
      <c r="AL24" s="118" t="s">
        <v>235</v>
      </c>
      <c r="AM24" s="168" t="s">
        <v>385</v>
      </c>
      <c r="AN24" s="118">
        <v>2</v>
      </c>
    </row>
    <row r="25" spans="1:41" ht="73.5" customHeight="1" x14ac:dyDescent="0.2">
      <c r="A25" s="37">
        <v>19</v>
      </c>
      <c r="B25" s="15">
        <v>2024</v>
      </c>
      <c r="C25" s="15" t="s">
        <v>80</v>
      </c>
      <c r="D25" s="15">
        <v>10</v>
      </c>
      <c r="E25" s="15">
        <v>1</v>
      </c>
      <c r="F25" s="33" t="s">
        <v>105</v>
      </c>
      <c r="G25" s="17" t="s">
        <v>386</v>
      </c>
      <c r="H25" s="17" t="s">
        <v>742</v>
      </c>
      <c r="I25" s="33"/>
      <c r="J25" s="17"/>
      <c r="K25" s="17"/>
      <c r="L25" s="17"/>
      <c r="M25" s="17"/>
      <c r="N25" s="17"/>
      <c r="O25" s="33">
        <v>1</v>
      </c>
      <c r="P25" s="17" t="s">
        <v>536</v>
      </c>
      <c r="Q25" s="33">
        <v>0</v>
      </c>
      <c r="R25" s="17"/>
      <c r="S25" s="17"/>
      <c r="T25" s="33"/>
      <c r="U25" s="16" t="s">
        <v>173</v>
      </c>
      <c r="V25" s="16"/>
      <c r="W25" s="17" t="s">
        <v>387</v>
      </c>
      <c r="X25" s="18">
        <v>45485</v>
      </c>
      <c r="Y25" s="16" t="s">
        <v>388</v>
      </c>
      <c r="Z25" s="15" t="s">
        <v>389</v>
      </c>
      <c r="AA25" s="15" t="s">
        <v>145</v>
      </c>
      <c r="AB25" s="15">
        <v>11</v>
      </c>
      <c r="AC25" s="17" t="s">
        <v>820</v>
      </c>
      <c r="AD25" s="44">
        <v>1042129</v>
      </c>
      <c r="AE25" s="44"/>
      <c r="AF25" s="75">
        <f t="shared" si="0"/>
        <v>21769014.827799998</v>
      </c>
      <c r="AG25" s="17"/>
      <c r="AH25" s="180">
        <v>45575</v>
      </c>
      <c r="AI25" s="149" t="s">
        <v>390</v>
      </c>
      <c r="AJ25" s="181" t="s">
        <v>391</v>
      </c>
      <c r="AK25" s="149" t="s">
        <v>392</v>
      </c>
      <c r="AL25" s="182" t="s">
        <v>235</v>
      </c>
      <c r="AM25" s="163" t="s">
        <v>393</v>
      </c>
      <c r="AN25" s="149">
        <v>2</v>
      </c>
    </row>
    <row r="26" spans="1:41" ht="158.5" customHeight="1" x14ac:dyDescent="0.2">
      <c r="A26" s="37">
        <v>20</v>
      </c>
      <c r="B26" s="15">
        <v>2024</v>
      </c>
      <c r="C26" s="15">
        <v>2</v>
      </c>
      <c r="D26" s="15">
        <v>2</v>
      </c>
      <c r="E26" s="15"/>
      <c r="F26" s="33" t="s">
        <v>9</v>
      </c>
      <c r="G26" s="17" t="s">
        <v>394</v>
      </c>
      <c r="H26" s="17" t="s">
        <v>743</v>
      </c>
      <c r="I26" s="33"/>
      <c r="J26" s="17"/>
      <c r="K26" s="17"/>
      <c r="L26" s="17"/>
      <c r="M26" s="17"/>
      <c r="N26" s="17"/>
      <c r="O26" s="33">
        <v>1</v>
      </c>
      <c r="P26" s="17" t="s">
        <v>395</v>
      </c>
      <c r="Q26" s="33">
        <v>0</v>
      </c>
      <c r="R26" s="17"/>
      <c r="S26" s="17"/>
      <c r="T26" s="33"/>
      <c r="U26" s="16" t="s">
        <v>173</v>
      </c>
      <c r="V26" s="16"/>
      <c r="W26" s="17"/>
      <c r="X26" s="18"/>
      <c r="Y26" s="16" t="s">
        <v>396</v>
      </c>
      <c r="Z26" s="15" t="s">
        <v>397</v>
      </c>
      <c r="AA26" s="15"/>
      <c r="AB26" s="15"/>
      <c r="AC26" s="94"/>
      <c r="AD26" s="127"/>
      <c r="AE26" s="44"/>
      <c r="AF26" s="75">
        <f t="shared" si="0"/>
        <v>21769014.827799998</v>
      </c>
      <c r="AG26" s="17"/>
      <c r="AH26" s="180">
        <v>45634</v>
      </c>
      <c r="AI26" s="183" t="s">
        <v>398</v>
      </c>
      <c r="AJ26" s="184" t="s">
        <v>399</v>
      </c>
      <c r="AK26" s="185" t="s">
        <v>139</v>
      </c>
      <c r="AL26" s="161" t="s">
        <v>235</v>
      </c>
      <c r="AM26" s="158" t="s">
        <v>400</v>
      </c>
      <c r="AN26" s="145">
        <v>2</v>
      </c>
      <c r="AO26" s="186"/>
    </row>
    <row r="27" spans="1:41" ht="53.25" customHeight="1" x14ac:dyDescent="0.2">
      <c r="A27" s="37">
        <v>21</v>
      </c>
      <c r="B27" s="15">
        <v>2024</v>
      </c>
      <c r="C27" s="15">
        <v>4</v>
      </c>
      <c r="D27" s="15">
        <v>4</v>
      </c>
      <c r="E27" s="15"/>
      <c r="F27" s="33" t="s">
        <v>401</v>
      </c>
      <c r="G27" s="17" t="s">
        <v>402</v>
      </c>
      <c r="H27" s="17" t="s">
        <v>747</v>
      </c>
      <c r="I27" s="33"/>
      <c r="J27" s="17"/>
      <c r="K27" s="17"/>
      <c r="L27" s="17"/>
      <c r="M27" s="17"/>
      <c r="N27" s="17"/>
      <c r="O27" s="33">
        <v>0</v>
      </c>
      <c r="P27" s="17"/>
      <c r="Q27" s="33">
        <v>0</v>
      </c>
      <c r="R27" s="17"/>
      <c r="S27" s="17"/>
      <c r="T27" s="33"/>
      <c r="U27" s="16" t="s">
        <v>173</v>
      </c>
      <c r="V27" s="16"/>
      <c r="W27" s="17"/>
      <c r="X27" s="18"/>
      <c r="Y27" s="16" t="s">
        <v>254</v>
      </c>
      <c r="Z27" s="15" t="s">
        <v>389</v>
      </c>
      <c r="AA27" s="15" t="s">
        <v>162</v>
      </c>
      <c r="AB27" s="15">
        <v>12</v>
      </c>
      <c r="AC27" s="64">
        <v>800000</v>
      </c>
      <c r="AD27" s="44">
        <v>800000</v>
      </c>
      <c r="AE27" s="44"/>
      <c r="AF27" s="75">
        <f t="shared" si="0"/>
        <v>20969014.827799998</v>
      </c>
      <c r="AG27" s="17"/>
      <c r="AH27" s="137" t="s">
        <v>403</v>
      </c>
      <c r="AI27" s="149" t="s">
        <v>404</v>
      </c>
      <c r="AJ27" s="187" t="s">
        <v>405</v>
      </c>
      <c r="AK27" s="188" t="s">
        <v>258</v>
      </c>
      <c r="AL27" s="157" t="s">
        <v>235</v>
      </c>
      <c r="AM27" s="158" t="s">
        <v>406</v>
      </c>
      <c r="AN27" s="149">
        <v>2</v>
      </c>
    </row>
    <row r="28" spans="1:41" ht="64" x14ac:dyDescent="0.2">
      <c r="A28" s="37">
        <v>22</v>
      </c>
      <c r="B28" s="15">
        <v>2024</v>
      </c>
      <c r="C28" s="15">
        <v>2</v>
      </c>
      <c r="D28" s="15">
        <v>2</v>
      </c>
      <c r="E28" s="15"/>
      <c r="F28" s="96" t="s">
        <v>9</v>
      </c>
      <c r="G28" s="56" t="s">
        <v>407</v>
      </c>
      <c r="H28" s="17" t="s">
        <v>408</v>
      </c>
      <c r="I28" s="33"/>
      <c r="J28" s="17"/>
      <c r="K28" s="17"/>
      <c r="L28" s="17"/>
      <c r="M28" s="17"/>
      <c r="N28" s="17"/>
      <c r="O28" s="33">
        <v>1</v>
      </c>
      <c r="P28" s="17" t="s">
        <v>409</v>
      </c>
      <c r="Q28" s="33">
        <v>0</v>
      </c>
      <c r="R28" s="17"/>
      <c r="S28" s="17"/>
      <c r="T28" s="33">
        <v>40</v>
      </c>
      <c r="U28" s="16" t="s">
        <v>173</v>
      </c>
      <c r="V28" s="16"/>
      <c r="W28" s="17" t="s">
        <v>410</v>
      </c>
      <c r="X28" s="18">
        <v>45518</v>
      </c>
      <c r="Y28" s="19" t="s">
        <v>411</v>
      </c>
      <c r="Z28" s="15" t="s">
        <v>389</v>
      </c>
      <c r="AA28" s="15" t="s">
        <v>412</v>
      </c>
      <c r="AB28" s="15">
        <v>13</v>
      </c>
      <c r="AC28" s="17" t="s">
        <v>413</v>
      </c>
      <c r="AD28" s="44">
        <f>2950*922.58</f>
        <v>2721611</v>
      </c>
      <c r="AE28" s="44"/>
      <c r="AF28" s="75">
        <f t="shared" si="0"/>
        <v>18247403.827799998</v>
      </c>
      <c r="AG28" s="17"/>
      <c r="AH28" s="164" t="s">
        <v>414</v>
      </c>
      <c r="AI28" s="189" t="s">
        <v>415</v>
      </c>
      <c r="AJ28" s="190" t="s">
        <v>416</v>
      </c>
      <c r="AK28" s="191" t="s">
        <v>417</v>
      </c>
      <c r="AL28" s="157" t="s">
        <v>235</v>
      </c>
      <c r="AM28" s="158" t="s">
        <v>418</v>
      </c>
      <c r="AN28" s="145">
        <v>2</v>
      </c>
    </row>
    <row r="29" spans="1:41" ht="73.5" customHeight="1" x14ac:dyDescent="0.2">
      <c r="A29" s="37">
        <v>23</v>
      </c>
      <c r="B29" s="15">
        <v>2023</v>
      </c>
      <c r="C29" s="15">
        <v>2</v>
      </c>
      <c r="D29" s="15">
        <v>2</v>
      </c>
      <c r="E29" s="15"/>
      <c r="F29" s="96" t="s">
        <v>9</v>
      </c>
      <c r="G29" s="17" t="s">
        <v>750</v>
      </c>
      <c r="H29" s="17" t="s">
        <v>749</v>
      </c>
      <c r="I29" s="33"/>
      <c r="J29" s="17"/>
      <c r="K29" s="17"/>
      <c r="L29" s="17"/>
      <c r="M29" s="17"/>
      <c r="N29" s="17"/>
      <c r="O29" s="33">
        <v>1</v>
      </c>
      <c r="P29" s="17" t="s">
        <v>537</v>
      </c>
      <c r="Q29" s="33">
        <v>0</v>
      </c>
      <c r="R29" s="17"/>
      <c r="S29" s="17"/>
      <c r="T29" s="33"/>
      <c r="U29" s="16" t="s">
        <v>173</v>
      </c>
      <c r="V29" s="16"/>
      <c r="W29" s="17"/>
      <c r="X29" s="18"/>
      <c r="Y29" s="16" t="s">
        <v>419</v>
      </c>
      <c r="Z29" s="15" t="s">
        <v>420</v>
      </c>
      <c r="AA29" s="15"/>
      <c r="AB29" s="15"/>
      <c r="AC29" s="17"/>
      <c r="AD29" s="44"/>
      <c r="AE29" s="44"/>
      <c r="AF29" s="75">
        <f t="shared" si="0"/>
        <v>18247403.827799998</v>
      </c>
      <c r="AG29" s="17"/>
      <c r="AH29" s="156">
        <v>45282</v>
      </c>
      <c r="AI29" s="157" t="s">
        <v>421</v>
      </c>
      <c r="AJ29" s="158" t="s">
        <v>422</v>
      </c>
      <c r="AK29" s="157" t="s">
        <v>124</v>
      </c>
      <c r="AL29" s="169" t="s">
        <v>235</v>
      </c>
      <c r="AM29" s="170" t="s">
        <v>423</v>
      </c>
      <c r="AN29" s="16">
        <v>2</v>
      </c>
    </row>
    <row r="30" spans="1:41" ht="160" x14ac:dyDescent="0.2">
      <c r="A30" s="37">
        <v>24</v>
      </c>
      <c r="B30" s="15">
        <v>2024</v>
      </c>
      <c r="C30" s="15">
        <v>2</v>
      </c>
      <c r="D30" s="15">
        <v>2</v>
      </c>
      <c r="E30" s="15"/>
      <c r="F30" s="33" t="s">
        <v>105</v>
      </c>
      <c r="G30" s="17" t="s">
        <v>424</v>
      </c>
      <c r="H30" s="17" t="s">
        <v>744</v>
      </c>
      <c r="I30" s="33"/>
      <c r="J30" s="17"/>
      <c r="K30" s="17"/>
      <c r="L30" s="17"/>
      <c r="M30" s="17"/>
      <c r="N30" s="17"/>
      <c r="O30" s="33">
        <v>1</v>
      </c>
      <c r="P30" s="17" t="s">
        <v>868</v>
      </c>
      <c r="Q30" s="33">
        <v>1</v>
      </c>
      <c r="R30" s="17" t="s">
        <v>865</v>
      </c>
      <c r="S30" s="17"/>
      <c r="T30" s="33"/>
      <c r="U30" s="16" t="s">
        <v>173</v>
      </c>
      <c r="V30" s="16"/>
      <c r="W30" s="17"/>
      <c r="X30" s="18"/>
      <c r="Y30" s="16" t="s">
        <v>425</v>
      </c>
      <c r="Z30" s="15" t="s">
        <v>420</v>
      </c>
      <c r="AA30" s="15"/>
      <c r="AB30" s="15"/>
      <c r="AC30" s="17"/>
      <c r="AD30" s="44"/>
      <c r="AE30" s="44"/>
      <c r="AF30" s="75">
        <f t="shared" si="0"/>
        <v>18247403.827799998</v>
      </c>
      <c r="AG30" s="17"/>
      <c r="AH30" s="160">
        <v>45454</v>
      </c>
      <c r="AI30" s="161" t="s">
        <v>426</v>
      </c>
      <c r="AJ30" s="158" t="s">
        <v>427</v>
      </c>
      <c r="AK30" s="161" t="s">
        <v>428</v>
      </c>
      <c r="AL30" s="161" t="s">
        <v>235</v>
      </c>
      <c r="AM30" s="159" t="s">
        <v>429</v>
      </c>
      <c r="AN30" s="16">
        <v>2</v>
      </c>
    </row>
    <row r="31" spans="1:41" ht="64.5" customHeight="1" x14ac:dyDescent="0.2">
      <c r="A31" s="37">
        <v>25</v>
      </c>
      <c r="B31" s="15">
        <v>2024</v>
      </c>
      <c r="C31" s="15">
        <v>2</v>
      </c>
      <c r="D31" s="15">
        <v>2</v>
      </c>
      <c r="E31" s="15"/>
      <c r="F31" s="33" t="s">
        <v>9</v>
      </c>
      <c r="G31" s="17" t="s">
        <v>430</v>
      </c>
      <c r="H31" s="17" t="s">
        <v>745</v>
      </c>
      <c r="I31" s="33"/>
      <c r="J31" s="17"/>
      <c r="K31" s="17"/>
      <c r="L31" s="17"/>
      <c r="M31" s="17"/>
      <c r="N31" s="17"/>
      <c r="O31" s="33">
        <v>1</v>
      </c>
      <c r="P31" s="17" t="s">
        <v>431</v>
      </c>
      <c r="Q31" s="33">
        <v>1</v>
      </c>
      <c r="R31" s="17" t="s">
        <v>432</v>
      </c>
      <c r="S31" s="17"/>
      <c r="T31" s="33"/>
      <c r="U31" s="16" t="s">
        <v>158</v>
      </c>
      <c r="V31" s="16"/>
      <c r="W31" s="17"/>
      <c r="X31" s="18"/>
      <c r="Y31" s="16" t="s">
        <v>433</v>
      </c>
      <c r="Z31" s="15" t="s">
        <v>420</v>
      </c>
      <c r="AA31" s="15"/>
      <c r="AB31" s="15"/>
      <c r="AC31" s="17"/>
      <c r="AD31" s="44"/>
      <c r="AE31" s="44"/>
      <c r="AF31" s="75">
        <f t="shared" si="0"/>
        <v>18247403.827799998</v>
      </c>
      <c r="AG31" s="17"/>
      <c r="AH31" s="162" t="s">
        <v>434</v>
      </c>
      <c r="AI31" s="157" t="s">
        <v>435</v>
      </c>
      <c r="AJ31" s="158" t="s">
        <v>436</v>
      </c>
      <c r="AK31" s="157" t="s">
        <v>437</v>
      </c>
      <c r="AL31" s="192"/>
      <c r="AM31" s="193" t="s">
        <v>438</v>
      </c>
      <c r="AN31" s="194"/>
    </row>
    <row r="32" spans="1:41" ht="71.5" customHeight="1" x14ac:dyDescent="0.2">
      <c r="A32" s="37">
        <v>26</v>
      </c>
      <c r="B32" s="15">
        <v>2024</v>
      </c>
      <c r="C32" s="15">
        <v>1</v>
      </c>
      <c r="D32" s="15">
        <v>1</v>
      </c>
      <c r="E32" s="15"/>
      <c r="F32" s="33" t="s">
        <v>9</v>
      </c>
      <c r="G32" s="17" t="s">
        <v>446</v>
      </c>
      <c r="H32" s="56" t="s">
        <v>447</v>
      </c>
      <c r="I32" s="33"/>
      <c r="J32" s="17"/>
      <c r="K32" s="17"/>
      <c r="L32" s="17"/>
      <c r="M32" s="17"/>
      <c r="N32" s="17"/>
      <c r="O32" s="33">
        <v>1</v>
      </c>
      <c r="P32" s="17" t="s">
        <v>538</v>
      </c>
      <c r="Q32" s="33"/>
      <c r="R32" s="17" t="s">
        <v>539</v>
      </c>
      <c r="S32" s="17"/>
      <c r="T32" s="47">
        <v>0.5</v>
      </c>
      <c r="U32" s="16"/>
      <c r="V32" s="16"/>
      <c r="W32" s="17"/>
      <c r="X32" s="18"/>
      <c r="Y32" s="16" t="s">
        <v>448</v>
      </c>
      <c r="Z32" s="15" t="s">
        <v>420</v>
      </c>
      <c r="AA32" s="15"/>
      <c r="AB32" s="15"/>
      <c r="AC32" s="17"/>
      <c r="AD32" s="44"/>
      <c r="AE32" s="44"/>
      <c r="AF32" s="75">
        <f t="shared" si="0"/>
        <v>18247403.827799998</v>
      </c>
      <c r="AG32" s="195"/>
      <c r="AH32" s="165">
        <v>45447</v>
      </c>
      <c r="AI32" s="161" t="s">
        <v>449</v>
      </c>
      <c r="AJ32" s="158" t="s">
        <v>450</v>
      </c>
      <c r="AK32" s="161" t="s">
        <v>451</v>
      </c>
      <c r="AL32" s="157" t="s">
        <v>235</v>
      </c>
      <c r="AM32" s="166" t="s">
        <v>452</v>
      </c>
      <c r="AN32" s="192">
        <v>2</v>
      </c>
    </row>
    <row r="33" spans="1:348" ht="67.5" customHeight="1" x14ac:dyDescent="0.2">
      <c r="A33" s="37">
        <v>27</v>
      </c>
      <c r="B33" s="15">
        <v>2024</v>
      </c>
      <c r="C33" s="15">
        <v>1</v>
      </c>
      <c r="D33" s="15">
        <v>1</v>
      </c>
      <c r="E33" s="15"/>
      <c r="F33" s="33" t="s">
        <v>401</v>
      </c>
      <c r="G33" s="17" t="s">
        <v>453</v>
      </c>
      <c r="H33" s="17" t="s">
        <v>531</v>
      </c>
      <c r="I33" s="33"/>
      <c r="J33" s="17"/>
      <c r="K33" s="17"/>
      <c r="L33" s="17"/>
      <c r="M33" s="17"/>
      <c r="N33" s="17"/>
      <c r="O33" s="33">
        <v>0</v>
      </c>
      <c r="P33" s="17"/>
      <c r="Q33" s="33"/>
      <c r="R33" s="17" t="s">
        <v>540</v>
      </c>
      <c r="S33" s="17"/>
      <c r="T33" s="47">
        <v>0.5</v>
      </c>
      <c r="U33" s="16" t="s">
        <v>173</v>
      </c>
      <c r="V33" s="16"/>
      <c r="W33" s="17"/>
      <c r="X33" s="18"/>
      <c r="Y33" s="16" t="s">
        <v>454</v>
      </c>
      <c r="Z33" s="15" t="s">
        <v>420</v>
      </c>
      <c r="AA33" s="15"/>
      <c r="AB33" s="15"/>
      <c r="AC33" s="17"/>
      <c r="AD33" s="44"/>
      <c r="AE33" s="44"/>
      <c r="AF33" s="75">
        <f t="shared" si="0"/>
        <v>18247403.827799998</v>
      </c>
      <c r="AG33" s="195"/>
      <c r="AH33" s="157" t="s">
        <v>455</v>
      </c>
      <c r="AI33" s="157" t="s">
        <v>456</v>
      </c>
      <c r="AJ33" s="196" t="s">
        <v>457</v>
      </c>
      <c r="AK33" s="157" t="s">
        <v>458</v>
      </c>
      <c r="AL33" s="157" t="s">
        <v>235</v>
      </c>
      <c r="AM33" s="158" t="s">
        <v>459</v>
      </c>
      <c r="AN33" s="192">
        <v>2</v>
      </c>
    </row>
    <row r="34" spans="1:348" ht="138" customHeight="1" x14ac:dyDescent="0.2">
      <c r="A34" s="37">
        <v>28</v>
      </c>
      <c r="B34" s="15">
        <v>2024</v>
      </c>
      <c r="C34" s="15">
        <v>2</v>
      </c>
      <c r="D34" s="15">
        <v>2</v>
      </c>
      <c r="E34" s="15"/>
      <c r="F34" s="33" t="s">
        <v>9</v>
      </c>
      <c r="G34" s="17" t="s">
        <v>460</v>
      </c>
      <c r="H34" s="17" t="s">
        <v>461</v>
      </c>
      <c r="I34" s="33"/>
      <c r="J34" s="17"/>
      <c r="K34" s="17"/>
      <c r="L34" s="17"/>
      <c r="M34" s="17"/>
      <c r="N34" s="17"/>
      <c r="O34" s="33">
        <v>0</v>
      </c>
      <c r="P34" s="17"/>
      <c r="Q34" s="33">
        <v>1</v>
      </c>
      <c r="R34" s="17" t="s">
        <v>864</v>
      </c>
      <c r="S34" s="17"/>
      <c r="T34" s="33">
        <v>0</v>
      </c>
      <c r="U34" s="16"/>
      <c r="V34" s="16"/>
      <c r="W34" s="17"/>
      <c r="X34" s="18"/>
      <c r="Y34" s="16" t="s">
        <v>462</v>
      </c>
      <c r="Z34" s="15" t="s">
        <v>420</v>
      </c>
      <c r="AA34" s="15"/>
      <c r="AB34" s="15"/>
      <c r="AC34" s="17"/>
      <c r="AD34" s="44"/>
      <c r="AE34" s="44"/>
      <c r="AF34" s="75">
        <f t="shared" si="0"/>
        <v>18247403.827799998</v>
      </c>
      <c r="AG34" s="197"/>
      <c r="AH34" s="198">
        <v>45573</v>
      </c>
      <c r="AI34" s="167" t="s">
        <v>463</v>
      </c>
      <c r="AJ34" s="163" t="s">
        <v>464</v>
      </c>
      <c r="AK34" s="167" t="s">
        <v>465</v>
      </c>
      <c r="AL34" s="157" t="s">
        <v>235</v>
      </c>
      <c r="AM34" s="158" t="s">
        <v>466</v>
      </c>
      <c r="AN34" s="157">
        <v>2</v>
      </c>
    </row>
    <row r="35" spans="1:348" ht="167.5" customHeight="1" x14ac:dyDescent="0.2">
      <c r="A35" s="37">
        <v>29</v>
      </c>
      <c r="B35" s="15">
        <v>2024</v>
      </c>
      <c r="C35" s="199" t="s">
        <v>467</v>
      </c>
      <c r="D35" s="15">
        <v>10</v>
      </c>
      <c r="E35" s="199">
        <v>1</v>
      </c>
      <c r="F35" s="200" t="s">
        <v>9</v>
      </c>
      <c r="G35" s="171" t="s">
        <v>468</v>
      </c>
      <c r="H35" s="201" t="s">
        <v>469</v>
      </c>
      <c r="I35" s="171" t="s">
        <v>235</v>
      </c>
      <c r="J35" s="171" t="s">
        <v>235</v>
      </c>
      <c r="K35" s="171" t="s">
        <v>235</v>
      </c>
      <c r="L35" s="171" t="s">
        <v>235</v>
      </c>
      <c r="M35" s="149" t="s">
        <v>235</v>
      </c>
      <c r="N35" s="149" t="s">
        <v>235</v>
      </c>
      <c r="O35" s="199">
        <v>0</v>
      </c>
      <c r="P35" s="171" t="s">
        <v>235</v>
      </c>
      <c r="Q35" s="200">
        <v>1</v>
      </c>
      <c r="R35" s="171" t="s">
        <v>866</v>
      </c>
      <c r="S35" s="149" t="s">
        <v>235</v>
      </c>
      <c r="T35" s="149" t="s">
        <v>235</v>
      </c>
      <c r="U35" s="149" t="s">
        <v>235</v>
      </c>
      <c r="V35" s="149" t="s">
        <v>235</v>
      </c>
      <c r="W35" s="171" t="s">
        <v>781</v>
      </c>
      <c r="X35" s="243">
        <v>45572</v>
      </c>
      <c r="Y35" s="202" t="s">
        <v>470</v>
      </c>
      <c r="Z35" s="199" t="s">
        <v>389</v>
      </c>
      <c r="AA35" s="171" t="s">
        <v>235</v>
      </c>
      <c r="AB35" s="199">
        <v>14</v>
      </c>
      <c r="AC35" s="149" t="s">
        <v>782</v>
      </c>
      <c r="AD35" s="244">
        <f>2750*949.34</f>
        <v>2610685</v>
      </c>
      <c r="AE35" s="149" t="s">
        <v>235</v>
      </c>
      <c r="AF35" s="75">
        <f t="shared" si="0"/>
        <v>15636718.827799998</v>
      </c>
      <c r="AG35" s="157" t="s">
        <v>235</v>
      </c>
      <c r="AH35" s="157" t="s">
        <v>471</v>
      </c>
      <c r="AI35" s="157" t="s">
        <v>472</v>
      </c>
      <c r="AJ35" s="158" t="s">
        <v>473</v>
      </c>
      <c r="AK35" s="157" t="s">
        <v>474</v>
      </c>
      <c r="AL35" s="149" t="s">
        <v>235</v>
      </c>
      <c r="AM35" s="187" t="s">
        <v>475</v>
      </c>
      <c r="AN35" s="137">
        <v>2</v>
      </c>
      <c r="AO35" s="203"/>
      <c r="AP35" s="203"/>
      <c r="AQ35" s="203"/>
      <c r="AR35" s="203"/>
      <c r="AS35" s="203"/>
      <c r="AT35" s="203"/>
      <c r="AU35" s="203"/>
      <c r="AV35" s="203"/>
      <c r="AW35" s="203"/>
      <c r="AX35" s="203"/>
      <c r="AY35" s="203"/>
      <c r="AZ35" s="203"/>
      <c r="BA35" s="203"/>
      <c r="BB35" s="203"/>
      <c r="BC35" s="203"/>
      <c r="BD35" s="203"/>
      <c r="BE35" s="203"/>
      <c r="BF35" s="203"/>
      <c r="BG35" s="203"/>
      <c r="BH35" s="203"/>
      <c r="BI35" s="203"/>
      <c r="BJ35" s="203"/>
      <c r="BK35" s="203"/>
      <c r="BL35" s="203"/>
      <c r="BM35" s="203"/>
      <c r="BN35" s="203"/>
      <c r="BO35" s="203"/>
      <c r="BP35" s="203"/>
      <c r="BQ35" s="203"/>
      <c r="BR35" s="203"/>
      <c r="BS35" s="203"/>
      <c r="BT35" s="203"/>
      <c r="BU35" s="203"/>
      <c r="BV35" s="203"/>
      <c r="BW35" s="203"/>
      <c r="BX35" s="203"/>
      <c r="BY35" s="203"/>
      <c r="BZ35" s="203"/>
      <c r="CA35" s="203"/>
      <c r="CB35" s="203"/>
      <c r="CC35" s="203"/>
      <c r="CD35" s="203"/>
      <c r="CE35" s="203"/>
      <c r="CF35" s="203"/>
      <c r="CG35" s="203"/>
      <c r="CH35" s="203"/>
      <c r="CI35" s="203"/>
      <c r="CJ35" s="203"/>
      <c r="CK35" s="203"/>
      <c r="CL35" s="203"/>
      <c r="CM35" s="203"/>
      <c r="CN35" s="203"/>
      <c r="CO35" s="203"/>
      <c r="CP35" s="203"/>
      <c r="CQ35" s="203"/>
      <c r="CR35" s="203"/>
      <c r="CS35" s="203"/>
      <c r="CT35" s="203"/>
      <c r="CU35" s="203"/>
      <c r="CV35" s="203"/>
      <c r="CW35" s="203"/>
      <c r="CX35" s="203"/>
      <c r="CY35" s="203"/>
      <c r="CZ35" s="203"/>
      <c r="DA35" s="203"/>
      <c r="DB35" s="203"/>
      <c r="DC35" s="203"/>
      <c r="DD35" s="203"/>
      <c r="DE35" s="203"/>
      <c r="DF35" s="203"/>
      <c r="DG35" s="203"/>
      <c r="DH35" s="203"/>
      <c r="DI35" s="203"/>
      <c r="DJ35" s="203"/>
      <c r="DK35" s="203"/>
      <c r="DL35" s="203"/>
      <c r="DM35" s="203"/>
      <c r="DN35" s="203"/>
      <c r="DO35" s="203"/>
      <c r="DP35" s="203"/>
      <c r="DQ35" s="203"/>
      <c r="DR35" s="203"/>
      <c r="DS35" s="203"/>
      <c r="DT35" s="203"/>
      <c r="DU35" s="203"/>
      <c r="DV35" s="203"/>
      <c r="DW35" s="203"/>
      <c r="DX35" s="203"/>
      <c r="DY35" s="203"/>
      <c r="DZ35" s="203"/>
      <c r="EA35" s="203"/>
      <c r="EB35" s="203"/>
      <c r="EC35" s="203"/>
      <c r="ED35" s="203"/>
      <c r="EE35" s="203"/>
      <c r="EF35" s="203"/>
      <c r="EG35" s="203"/>
      <c r="EH35" s="203"/>
      <c r="EI35" s="203"/>
      <c r="EJ35" s="203"/>
      <c r="EK35" s="203"/>
      <c r="EL35" s="203"/>
      <c r="EM35" s="203"/>
      <c r="EN35" s="203"/>
      <c r="EO35" s="203"/>
      <c r="EP35" s="203"/>
      <c r="EQ35" s="203"/>
      <c r="ER35" s="203"/>
      <c r="ES35" s="203"/>
      <c r="ET35" s="203"/>
      <c r="EU35" s="203"/>
      <c r="EV35" s="203"/>
      <c r="EW35" s="203"/>
      <c r="EX35" s="203"/>
      <c r="EY35" s="203"/>
      <c r="EZ35" s="203"/>
      <c r="FA35" s="203"/>
      <c r="FB35" s="203"/>
      <c r="FC35" s="203"/>
      <c r="FD35" s="203"/>
      <c r="FE35" s="203"/>
      <c r="FF35" s="203"/>
      <c r="FG35" s="203"/>
      <c r="FH35" s="203"/>
      <c r="FI35" s="203"/>
      <c r="FJ35" s="203"/>
      <c r="FK35" s="203"/>
      <c r="FL35" s="203"/>
      <c r="FM35" s="203"/>
      <c r="FN35" s="203"/>
      <c r="FO35" s="203"/>
      <c r="FP35" s="203"/>
      <c r="FQ35" s="203"/>
      <c r="FR35" s="203"/>
      <c r="FS35" s="203"/>
      <c r="FT35" s="203"/>
      <c r="FU35" s="203"/>
      <c r="FV35" s="203"/>
      <c r="FW35" s="203"/>
      <c r="FX35" s="203"/>
      <c r="FY35" s="203"/>
      <c r="FZ35" s="203"/>
      <c r="GA35" s="203"/>
      <c r="GB35" s="203"/>
      <c r="GC35" s="203"/>
      <c r="GD35" s="203"/>
      <c r="GE35" s="203"/>
      <c r="GF35" s="203"/>
      <c r="GG35" s="203"/>
      <c r="GH35" s="203"/>
      <c r="GI35" s="203"/>
      <c r="GJ35" s="203"/>
      <c r="GK35" s="203"/>
      <c r="GL35" s="203"/>
      <c r="GM35" s="203"/>
      <c r="GN35" s="203"/>
      <c r="GO35" s="203"/>
      <c r="GP35" s="203"/>
      <c r="GQ35" s="203"/>
      <c r="GR35" s="203"/>
      <c r="GS35" s="203"/>
      <c r="GT35" s="203"/>
      <c r="GU35" s="203"/>
      <c r="GV35" s="203"/>
      <c r="GW35" s="203"/>
      <c r="GX35" s="203"/>
      <c r="GY35" s="203"/>
      <c r="GZ35" s="203"/>
      <c r="HA35" s="203"/>
      <c r="HB35" s="203"/>
      <c r="HC35" s="203"/>
      <c r="HD35" s="203"/>
      <c r="HE35" s="203"/>
      <c r="HF35" s="203"/>
      <c r="HG35" s="203"/>
      <c r="HH35" s="203"/>
      <c r="HI35" s="203"/>
      <c r="HJ35" s="203"/>
      <c r="HK35" s="203"/>
      <c r="HL35" s="203"/>
      <c r="HM35" s="203"/>
      <c r="HN35" s="203"/>
      <c r="HO35" s="203"/>
      <c r="HP35" s="203"/>
      <c r="HQ35" s="203"/>
      <c r="HR35" s="203"/>
      <c r="HS35" s="203"/>
      <c r="HT35" s="203"/>
      <c r="HU35" s="203"/>
      <c r="HV35" s="203"/>
      <c r="HW35" s="203"/>
      <c r="HX35" s="203"/>
      <c r="HY35" s="203"/>
      <c r="HZ35" s="203"/>
      <c r="IA35" s="203"/>
      <c r="IB35" s="203"/>
      <c r="IC35" s="203"/>
      <c r="ID35" s="203"/>
      <c r="IE35" s="203"/>
      <c r="IF35" s="203"/>
      <c r="IG35" s="203"/>
      <c r="IH35" s="203"/>
      <c r="II35" s="203"/>
      <c r="IJ35" s="203"/>
      <c r="IK35" s="203"/>
      <c r="IL35" s="203"/>
      <c r="IM35" s="203"/>
      <c r="IN35" s="203"/>
      <c r="IO35" s="203"/>
      <c r="IP35" s="203"/>
      <c r="IQ35" s="203"/>
      <c r="IR35" s="203"/>
      <c r="IS35" s="203"/>
      <c r="IT35" s="203"/>
      <c r="IU35" s="203"/>
      <c r="IV35" s="203"/>
      <c r="IW35" s="203"/>
      <c r="IX35" s="203"/>
      <c r="IY35" s="203"/>
      <c r="IZ35" s="203"/>
      <c r="JA35" s="203"/>
      <c r="JB35" s="203"/>
      <c r="JC35" s="203"/>
      <c r="JD35" s="203"/>
      <c r="JE35" s="203"/>
      <c r="JF35" s="203"/>
      <c r="JG35" s="203"/>
      <c r="JH35" s="203"/>
      <c r="JI35" s="203"/>
      <c r="JJ35" s="203"/>
      <c r="JK35" s="203"/>
      <c r="JL35" s="203"/>
      <c r="JM35" s="203"/>
      <c r="JN35" s="203"/>
      <c r="JO35" s="203"/>
      <c r="JP35" s="203"/>
      <c r="JQ35" s="203"/>
      <c r="JR35" s="203"/>
      <c r="JS35" s="203"/>
      <c r="JT35" s="203"/>
      <c r="JU35" s="203"/>
      <c r="JV35" s="203"/>
      <c r="JW35" s="203"/>
      <c r="JX35" s="203"/>
      <c r="JY35" s="203"/>
      <c r="JZ35" s="203"/>
      <c r="KA35" s="203"/>
      <c r="KB35" s="203"/>
      <c r="KC35" s="203"/>
      <c r="KD35" s="203"/>
      <c r="KE35" s="203"/>
      <c r="KF35" s="203"/>
      <c r="KG35" s="203"/>
      <c r="KH35" s="203"/>
      <c r="KI35" s="203"/>
      <c r="KJ35" s="203"/>
      <c r="KK35" s="203"/>
      <c r="KL35" s="203"/>
      <c r="KM35" s="203"/>
      <c r="KN35" s="203"/>
      <c r="KO35" s="203"/>
      <c r="KP35" s="203"/>
      <c r="KQ35" s="203"/>
      <c r="KR35" s="203"/>
      <c r="KS35" s="203"/>
      <c r="KT35" s="203"/>
      <c r="KU35" s="203"/>
      <c r="KV35" s="203"/>
      <c r="KW35" s="203"/>
      <c r="KX35" s="203"/>
      <c r="KY35" s="203"/>
      <c r="KZ35" s="203"/>
      <c r="LA35" s="203"/>
      <c r="LB35" s="203"/>
      <c r="LC35" s="203"/>
      <c r="LD35" s="203"/>
      <c r="LE35" s="203"/>
      <c r="LF35" s="203"/>
      <c r="LG35" s="203"/>
      <c r="LH35" s="203"/>
      <c r="LI35" s="203"/>
      <c r="LJ35" s="203"/>
      <c r="LK35" s="203"/>
      <c r="LL35" s="203"/>
      <c r="LM35" s="203"/>
      <c r="LN35" s="203"/>
      <c r="LO35" s="203"/>
      <c r="LP35" s="203"/>
      <c r="LQ35" s="203"/>
      <c r="LR35" s="203"/>
      <c r="LS35" s="203"/>
      <c r="LT35" s="203"/>
      <c r="LU35" s="203"/>
      <c r="LV35" s="203"/>
      <c r="LW35" s="203"/>
      <c r="LX35" s="203"/>
      <c r="LY35" s="203"/>
      <c r="LZ35" s="203"/>
      <c r="MA35" s="203"/>
      <c r="MB35" s="203"/>
      <c r="MC35" s="203"/>
      <c r="MD35" s="203"/>
      <c r="ME35" s="203"/>
      <c r="MF35" s="203"/>
      <c r="MG35" s="203"/>
      <c r="MH35" s="203"/>
      <c r="MI35" s="203"/>
      <c r="MJ35" s="203"/>
    </row>
    <row r="36" spans="1:348" ht="66" customHeight="1" x14ac:dyDescent="0.2">
      <c r="A36" s="37">
        <v>30</v>
      </c>
      <c r="B36" s="15">
        <v>2024</v>
      </c>
      <c r="C36" s="204">
        <v>2</v>
      </c>
      <c r="D36" s="204">
        <v>2</v>
      </c>
      <c r="E36" s="204"/>
      <c r="F36" s="205" t="s">
        <v>9</v>
      </c>
      <c r="G36" s="206" t="s">
        <v>718</v>
      </c>
      <c r="H36" s="118" t="s">
        <v>713</v>
      </c>
      <c r="I36" s="206" t="s">
        <v>235</v>
      </c>
      <c r="J36" s="206" t="s">
        <v>235</v>
      </c>
      <c r="K36" s="206" t="s">
        <v>235</v>
      </c>
      <c r="L36" s="206" t="s">
        <v>235</v>
      </c>
      <c r="M36" s="152" t="s">
        <v>235</v>
      </c>
      <c r="N36" s="152" t="s">
        <v>235</v>
      </c>
      <c r="O36" s="205">
        <v>1</v>
      </c>
      <c r="P36" s="302" t="s">
        <v>533</v>
      </c>
      <c r="Q36" s="212"/>
      <c r="R36" s="118"/>
      <c r="S36" s="152" t="s">
        <v>235</v>
      </c>
      <c r="T36" s="152" t="s">
        <v>235</v>
      </c>
      <c r="U36" s="152" t="s">
        <v>235</v>
      </c>
      <c r="V36" s="152" t="s">
        <v>235</v>
      </c>
      <c r="W36" s="206" t="s">
        <v>235</v>
      </c>
      <c r="X36" s="207" t="s">
        <v>235</v>
      </c>
      <c r="Y36" s="208" t="s">
        <v>476</v>
      </c>
      <c r="Z36" s="152" t="s">
        <v>235</v>
      </c>
      <c r="AA36" s="206" t="s">
        <v>235</v>
      </c>
      <c r="AB36" s="152" t="s">
        <v>235</v>
      </c>
      <c r="AC36" s="152" t="s">
        <v>235</v>
      </c>
      <c r="AD36" s="152"/>
      <c r="AE36" s="152" t="s">
        <v>235</v>
      </c>
      <c r="AF36" s="75">
        <f t="shared" si="0"/>
        <v>15636718.827799998</v>
      </c>
      <c r="AG36" s="157" t="s">
        <v>235</v>
      </c>
      <c r="AH36" s="157" t="s">
        <v>477</v>
      </c>
      <c r="AI36" s="161" t="s">
        <v>478</v>
      </c>
      <c r="AJ36" s="158" t="s">
        <v>479</v>
      </c>
      <c r="AK36" s="161" t="s">
        <v>480</v>
      </c>
      <c r="AL36" s="171" t="s">
        <v>235</v>
      </c>
      <c r="AM36" s="181" t="s">
        <v>481</v>
      </c>
      <c r="AN36" s="149">
        <v>2</v>
      </c>
      <c r="AO36" s="203"/>
      <c r="AP36" s="203"/>
      <c r="AQ36" s="203"/>
      <c r="AR36" s="203"/>
      <c r="AS36" s="203"/>
      <c r="AT36" s="203"/>
      <c r="AU36" s="203"/>
      <c r="AV36" s="203"/>
      <c r="AW36" s="203"/>
      <c r="AX36" s="203"/>
      <c r="AY36" s="203"/>
      <c r="AZ36" s="203"/>
      <c r="BA36" s="203"/>
      <c r="BB36" s="203"/>
      <c r="BC36" s="203"/>
      <c r="BD36" s="203"/>
      <c r="BE36" s="203"/>
      <c r="BF36" s="203"/>
      <c r="BG36" s="203"/>
      <c r="BH36" s="203"/>
      <c r="BI36" s="203"/>
      <c r="BJ36" s="203"/>
      <c r="BK36" s="203"/>
      <c r="BL36" s="203"/>
      <c r="BM36" s="203"/>
      <c r="BN36" s="203"/>
      <c r="BO36" s="203"/>
      <c r="BP36" s="203"/>
      <c r="BQ36" s="203"/>
      <c r="BR36" s="203"/>
      <c r="BS36" s="203"/>
      <c r="BT36" s="203"/>
      <c r="BU36" s="203"/>
      <c r="BV36" s="203"/>
      <c r="BW36" s="203"/>
      <c r="BX36" s="203"/>
      <c r="BY36" s="203"/>
      <c r="BZ36" s="203"/>
      <c r="CA36" s="203"/>
      <c r="CB36" s="203"/>
      <c r="CC36" s="203"/>
      <c r="CD36" s="203"/>
      <c r="CE36" s="203"/>
      <c r="CF36" s="203"/>
      <c r="CG36" s="203"/>
      <c r="CH36" s="203"/>
      <c r="CI36" s="203"/>
      <c r="CJ36" s="203"/>
      <c r="CK36" s="203"/>
      <c r="CL36" s="203"/>
      <c r="CM36" s="203"/>
      <c r="CN36" s="203"/>
      <c r="CO36" s="203"/>
      <c r="CP36" s="203"/>
      <c r="CQ36" s="203"/>
      <c r="CR36" s="203"/>
      <c r="CS36" s="203"/>
      <c r="CT36" s="203"/>
      <c r="CU36" s="203"/>
      <c r="CV36" s="203"/>
      <c r="CW36" s="203"/>
      <c r="CX36" s="203"/>
      <c r="CY36" s="203"/>
      <c r="CZ36" s="203"/>
      <c r="DA36" s="203"/>
      <c r="DB36" s="203"/>
      <c r="DC36" s="203"/>
      <c r="DD36" s="203"/>
      <c r="DE36" s="203"/>
      <c r="DF36" s="203"/>
      <c r="DG36" s="203"/>
      <c r="DH36" s="203"/>
      <c r="DI36" s="203"/>
      <c r="DJ36" s="203"/>
      <c r="DK36" s="203"/>
      <c r="DL36" s="203"/>
      <c r="DM36" s="203"/>
      <c r="DN36" s="203"/>
      <c r="DO36" s="203"/>
      <c r="DP36" s="203"/>
      <c r="DQ36" s="203"/>
      <c r="DR36" s="203"/>
      <c r="DS36" s="203"/>
      <c r="DT36" s="203"/>
      <c r="DU36" s="203"/>
      <c r="DV36" s="203"/>
      <c r="DW36" s="203"/>
      <c r="DX36" s="203"/>
      <c r="DY36" s="203"/>
      <c r="DZ36" s="203"/>
      <c r="EA36" s="203"/>
      <c r="EB36" s="203"/>
      <c r="EC36" s="203"/>
      <c r="ED36" s="203"/>
      <c r="EE36" s="203"/>
      <c r="EF36" s="203"/>
      <c r="EG36" s="203"/>
      <c r="EH36" s="203"/>
      <c r="EI36" s="203"/>
      <c r="EJ36" s="203"/>
      <c r="EK36" s="203"/>
      <c r="EL36" s="203"/>
      <c r="EM36" s="203"/>
      <c r="EN36" s="203"/>
      <c r="EO36" s="203"/>
      <c r="EP36" s="203"/>
      <c r="EQ36" s="203"/>
      <c r="ER36" s="203"/>
      <c r="ES36" s="203"/>
      <c r="ET36" s="203"/>
      <c r="EU36" s="203"/>
      <c r="EV36" s="203"/>
      <c r="EW36" s="203"/>
      <c r="EX36" s="203"/>
      <c r="EY36" s="203"/>
      <c r="EZ36" s="203"/>
      <c r="FA36" s="203"/>
      <c r="FB36" s="203"/>
      <c r="FC36" s="203"/>
      <c r="FD36" s="203"/>
      <c r="FE36" s="203"/>
      <c r="FF36" s="203"/>
      <c r="FG36" s="203"/>
      <c r="FH36" s="203"/>
      <c r="FI36" s="203"/>
      <c r="FJ36" s="203"/>
      <c r="FK36" s="203"/>
      <c r="FL36" s="203"/>
      <c r="FM36" s="203"/>
      <c r="FN36" s="203"/>
      <c r="FO36" s="203"/>
      <c r="FP36" s="203"/>
      <c r="FQ36" s="203"/>
      <c r="FR36" s="203"/>
      <c r="FS36" s="203"/>
      <c r="FT36" s="203"/>
      <c r="FU36" s="203"/>
      <c r="FV36" s="203"/>
      <c r="FW36" s="203"/>
      <c r="FX36" s="203"/>
      <c r="FY36" s="203"/>
      <c r="FZ36" s="203"/>
      <c r="GA36" s="203"/>
      <c r="GB36" s="203"/>
      <c r="GC36" s="203"/>
      <c r="GD36" s="203"/>
      <c r="GE36" s="203"/>
      <c r="GF36" s="203"/>
      <c r="GG36" s="203"/>
      <c r="GH36" s="203"/>
      <c r="GI36" s="203"/>
      <c r="GJ36" s="203"/>
      <c r="GK36" s="203"/>
      <c r="GL36" s="203"/>
      <c r="GM36" s="203"/>
      <c r="GN36" s="203"/>
      <c r="GO36" s="203"/>
      <c r="GP36" s="203"/>
      <c r="GQ36" s="203"/>
      <c r="GR36" s="203"/>
      <c r="GS36" s="203"/>
      <c r="GT36" s="203"/>
      <c r="GU36" s="203"/>
      <c r="GV36" s="203"/>
      <c r="GW36" s="203"/>
      <c r="GX36" s="203"/>
      <c r="GY36" s="203"/>
      <c r="GZ36" s="203"/>
      <c r="HA36" s="203"/>
      <c r="HB36" s="203"/>
      <c r="HC36" s="203"/>
      <c r="HD36" s="203"/>
      <c r="HE36" s="203"/>
      <c r="HF36" s="203"/>
      <c r="HG36" s="203"/>
      <c r="HH36" s="203"/>
      <c r="HI36" s="203"/>
      <c r="HJ36" s="203"/>
      <c r="HK36" s="203"/>
      <c r="HL36" s="203"/>
      <c r="HM36" s="203"/>
      <c r="HN36" s="203"/>
      <c r="HO36" s="203"/>
      <c r="HP36" s="203"/>
      <c r="HQ36" s="203"/>
      <c r="HR36" s="203"/>
      <c r="HS36" s="203"/>
      <c r="HT36" s="203"/>
      <c r="HU36" s="203"/>
      <c r="HV36" s="203"/>
      <c r="HW36" s="203"/>
      <c r="HX36" s="203"/>
      <c r="HY36" s="203"/>
      <c r="HZ36" s="203"/>
      <c r="IA36" s="203"/>
      <c r="IB36" s="203"/>
      <c r="IC36" s="203"/>
      <c r="ID36" s="203"/>
      <c r="IE36" s="203"/>
      <c r="IF36" s="203"/>
      <c r="IG36" s="203"/>
      <c r="IH36" s="203"/>
      <c r="II36" s="203"/>
      <c r="IJ36" s="203"/>
      <c r="IK36" s="203"/>
      <c r="IL36" s="203"/>
      <c r="IM36" s="203"/>
      <c r="IN36" s="203"/>
      <c r="IO36" s="203"/>
      <c r="IP36" s="203"/>
      <c r="IQ36" s="203"/>
      <c r="IR36" s="203"/>
      <c r="IS36" s="203"/>
      <c r="IT36" s="203"/>
      <c r="IU36" s="203"/>
      <c r="IV36" s="203"/>
      <c r="IW36" s="203"/>
      <c r="IX36" s="203"/>
      <c r="IY36" s="203"/>
      <c r="IZ36" s="203"/>
      <c r="JA36" s="203"/>
      <c r="JB36" s="203"/>
      <c r="JC36" s="203"/>
      <c r="JD36" s="203"/>
      <c r="JE36" s="203"/>
      <c r="JF36" s="203"/>
      <c r="JG36" s="203"/>
      <c r="JH36" s="203"/>
      <c r="JI36" s="203"/>
      <c r="JJ36" s="203"/>
      <c r="JK36" s="203"/>
      <c r="JL36" s="203"/>
      <c r="JM36" s="203"/>
      <c r="JN36" s="203"/>
      <c r="JO36" s="203"/>
      <c r="JP36" s="203"/>
      <c r="JQ36" s="203"/>
      <c r="JR36" s="203"/>
      <c r="JS36" s="203"/>
      <c r="JT36" s="203"/>
      <c r="JU36" s="203"/>
      <c r="JV36" s="203"/>
      <c r="JW36" s="203"/>
      <c r="JX36" s="203"/>
      <c r="JY36" s="203"/>
      <c r="JZ36" s="203"/>
      <c r="KA36" s="203"/>
      <c r="KB36" s="203"/>
      <c r="KC36" s="203"/>
      <c r="KD36" s="203"/>
      <c r="KE36" s="203"/>
      <c r="KF36" s="203"/>
      <c r="KG36" s="203"/>
      <c r="KH36" s="203"/>
      <c r="KI36" s="203"/>
      <c r="KJ36" s="203"/>
      <c r="KK36" s="203"/>
      <c r="KL36" s="203"/>
      <c r="KM36" s="203"/>
      <c r="KN36" s="203"/>
      <c r="KO36" s="203"/>
      <c r="KP36" s="203"/>
      <c r="KQ36" s="203"/>
      <c r="KR36" s="203"/>
      <c r="KS36" s="203"/>
      <c r="KT36" s="203"/>
      <c r="KU36" s="203"/>
      <c r="KV36" s="203"/>
      <c r="KW36" s="203"/>
      <c r="KX36" s="203"/>
      <c r="KY36" s="203"/>
      <c r="KZ36" s="203"/>
      <c r="LA36" s="203"/>
      <c r="LB36" s="203"/>
      <c r="LC36" s="203"/>
      <c r="LD36" s="203"/>
      <c r="LE36" s="203"/>
      <c r="LF36" s="203"/>
      <c r="LG36" s="203"/>
      <c r="LH36" s="203"/>
      <c r="LI36" s="203"/>
      <c r="LJ36" s="203"/>
      <c r="LK36" s="203"/>
      <c r="LL36" s="203"/>
      <c r="LM36" s="203"/>
      <c r="LN36" s="203"/>
      <c r="LO36" s="203"/>
      <c r="LP36" s="203"/>
      <c r="LQ36" s="203"/>
      <c r="LR36" s="203"/>
      <c r="LS36" s="203"/>
      <c r="LT36" s="203"/>
      <c r="LU36" s="203"/>
      <c r="LV36" s="203"/>
      <c r="LW36" s="203"/>
      <c r="LX36" s="203"/>
      <c r="LY36" s="203"/>
      <c r="LZ36" s="203"/>
      <c r="MA36" s="203"/>
      <c r="MB36" s="203"/>
      <c r="MC36" s="203"/>
      <c r="MD36" s="203"/>
      <c r="ME36" s="203"/>
      <c r="MF36" s="203"/>
      <c r="MG36" s="203"/>
      <c r="MH36" s="203"/>
      <c r="MI36" s="203"/>
      <c r="MJ36" s="203"/>
    </row>
    <row r="37" spans="1:348" ht="83" customHeight="1" x14ac:dyDescent="0.2">
      <c r="A37" s="37">
        <v>31</v>
      </c>
      <c r="B37" s="15">
        <v>2024</v>
      </c>
      <c r="C37" s="37">
        <v>3</v>
      </c>
      <c r="D37" s="37">
        <v>3</v>
      </c>
      <c r="E37" s="37"/>
      <c r="F37" s="33" t="s">
        <v>105</v>
      </c>
      <c r="G37" s="17" t="s">
        <v>528</v>
      </c>
      <c r="H37" s="17" t="s">
        <v>748</v>
      </c>
      <c r="I37" s="33"/>
      <c r="J37" s="17"/>
      <c r="K37" s="17"/>
      <c r="L37" s="17"/>
      <c r="M37" s="17"/>
      <c r="N37" s="17"/>
      <c r="O37" s="33">
        <v>1</v>
      </c>
      <c r="P37" s="46" t="s">
        <v>869</v>
      </c>
      <c r="Q37" s="33">
        <v>1</v>
      </c>
      <c r="R37" s="46" t="s">
        <v>867</v>
      </c>
      <c r="S37" s="17"/>
      <c r="T37" s="33"/>
      <c r="U37" s="16"/>
      <c r="V37" s="16"/>
      <c r="W37" s="17"/>
      <c r="X37" s="18"/>
      <c r="Y37" s="16" t="s">
        <v>529</v>
      </c>
      <c r="Z37" s="15"/>
      <c r="AA37" s="15"/>
      <c r="AB37" s="15"/>
      <c r="AC37" s="17"/>
      <c r="AD37" s="44"/>
      <c r="AE37" s="44"/>
      <c r="AF37" s="75">
        <f t="shared" si="0"/>
        <v>15636718.827799998</v>
      </c>
      <c r="AG37" s="17"/>
      <c r="AH37" s="16"/>
      <c r="AI37" s="16"/>
      <c r="AJ37" s="16" t="s">
        <v>530</v>
      </c>
      <c r="AK37" s="16"/>
      <c r="AL37" s="16"/>
      <c r="AM37" s="16"/>
      <c r="AN37" s="16"/>
    </row>
    <row r="38" spans="1:348" ht="22" thickBot="1" x14ac:dyDescent="0.25">
      <c r="E38" s="259">
        <f>SUM(E7:E37)</f>
        <v>8</v>
      </c>
      <c r="F38" s="380"/>
      <c r="G38" s="402"/>
      <c r="H38" s="402"/>
      <c r="I38" s="259"/>
      <c r="J38" s="403"/>
      <c r="K38" s="403"/>
      <c r="L38" s="403"/>
      <c r="M38" s="403"/>
      <c r="N38" s="403"/>
      <c r="O38" s="259">
        <f>SUM(O7:O37)</f>
        <v>16</v>
      </c>
      <c r="P38" s="259"/>
      <c r="Q38" s="259">
        <f>SUM(Q7:Q37)</f>
        <v>19</v>
      </c>
      <c r="R38" s="25"/>
      <c r="S38" s="25"/>
      <c r="T38" s="6"/>
      <c r="U38" s="25"/>
      <c r="V38" s="25"/>
      <c r="W38" s="25"/>
      <c r="X38" s="25"/>
      <c r="Y38" s="24" t="s">
        <v>17</v>
      </c>
      <c r="Z38" s="40"/>
      <c r="AA38" s="444" t="s">
        <v>845</v>
      </c>
      <c r="AB38" s="444"/>
      <c r="AC38" s="445"/>
      <c r="AD38" s="29">
        <f>SUM(AD11:AD37)</f>
        <v>20363281.172200002</v>
      </c>
      <c r="AE38" s="62"/>
    </row>
    <row r="39" spans="1:348" ht="20" thickBot="1" x14ac:dyDescent="0.25">
      <c r="Y39" s="442" t="s">
        <v>841</v>
      </c>
      <c r="Z39" s="442"/>
      <c r="AA39" s="442"/>
      <c r="AB39" s="442"/>
      <c r="AC39" s="442"/>
      <c r="AD39" s="289">
        <v>20022541</v>
      </c>
    </row>
    <row r="40" spans="1:348" ht="20" thickTop="1" x14ac:dyDescent="0.2">
      <c r="G40" s="93" t="s">
        <v>808</v>
      </c>
      <c r="O40" s="19"/>
      <c r="Q40" s="19"/>
      <c r="AB40" s="443" t="s">
        <v>842</v>
      </c>
      <c r="AC40" s="443"/>
      <c r="AD40" s="288">
        <f>SUM(AD38:AD39)</f>
        <v>40385822.172200002</v>
      </c>
    </row>
  </sheetData>
  <autoFilter ref="A6:MJ40" xr:uid="{8FEB8A33-B596-4DAC-9BE2-A22D9892DBCB}"/>
  <mergeCells count="5">
    <mergeCell ref="Y39:AC39"/>
    <mergeCell ref="AB40:AC40"/>
    <mergeCell ref="C5:AC5"/>
    <mergeCell ref="AH5:AM5"/>
    <mergeCell ref="AA38:AC38"/>
  </mergeCells>
  <dataValidations count="1">
    <dataValidation type="list" allowBlank="1" showInputMessage="1" showErrorMessage="1" sqref="U13:U34 U37" xr:uid="{A9C233D2-B418-49F1-B638-7856ABBCF47A}">
      <formula1>"En preparación, Enviada, Aceptada, En prensa, Publicada"</formula1>
    </dataValidation>
  </dataValidations>
  <hyperlinks>
    <hyperlink ref="AM7" r:id="rId1" xr:uid="{453AA37A-1E9C-43B0-958D-9A850B356DC9}"/>
    <hyperlink ref="AJ8" r:id="rId2" xr:uid="{3EC38938-9EE4-4EEB-A2A0-A96083509470}"/>
    <hyperlink ref="AM8" r:id="rId3" xr:uid="{54C80317-B8B6-4071-B4B5-7778687EDFC9}"/>
    <hyperlink ref="AJ9" r:id="rId4" xr:uid="{043F2324-113A-47F3-A996-5904A2FD4D07}"/>
    <hyperlink ref="AM9" r:id="rId5" xr:uid="{DB50FD19-841C-4ABC-973D-0D319542E304}"/>
    <hyperlink ref="AJ10" r:id="rId6" xr:uid="{4BA03955-29E9-413B-AF8D-0F0348649BD9}"/>
    <hyperlink ref="AM10" r:id="rId7" xr:uid="{B854E074-17FD-4E08-BF48-61820BA61A69}"/>
    <hyperlink ref="AJ11" r:id="rId8" xr:uid="{578E5AF1-57C8-48E7-8D1F-D68A11F15CCA}"/>
    <hyperlink ref="AM11" r:id="rId9" xr:uid="{1E755737-52E0-4604-87AD-F2E9E25433AA}"/>
    <hyperlink ref="AJ12" r:id="rId10" xr:uid="{D1BEDCC8-0D87-4888-BD83-CD6643055E8E}"/>
    <hyperlink ref="AM12" r:id="rId11" xr:uid="{C8B1B3FE-D26C-4D1D-A5F9-0EF9573A2526}"/>
    <hyperlink ref="AJ13" r:id="rId12" xr:uid="{076DBAF7-D9F0-4958-9305-1F1367066A9A}"/>
    <hyperlink ref="AM13" r:id="rId13" location="citeas" xr:uid="{D6C76844-8E6C-4F80-A99B-87532841620F}"/>
    <hyperlink ref="AJ14" r:id="rId14" xr:uid="{A3CA8C79-9B07-4D4B-AA87-4F44E06D86E7}"/>
    <hyperlink ref="AM14" r:id="rId15" xr:uid="{1A513AD5-5C7F-4E6C-8684-F4FEE99853BE}"/>
    <hyperlink ref="AJ15" r:id="rId16" xr:uid="{B9DD4D1E-B1EE-4E47-8FA5-F1CA8B241E6B}"/>
    <hyperlink ref="AM15" r:id="rId17" xr:uid="{3A7322CE-14C9-4D70-B52B-446A3CB2A992}"/>
    <hyperlink ref="AJ16" r:id="rId18" xr:uid="{6EE4F317-1229-4655-BEAB-8E4531DC2732}"/>
    <hyperlink ref="AM16" r:id="rId19" xr:uid="{434B7E47-420C-4496-9AC5-FB6BF1886B2D}"/>
    <hyperlink ref="AJ17" r:id="rId20" xr:uid="{C83BFBE9-AAE8-4ACB-AE89-40C49867EC65}"/>
    <hyperlink ref="AM17" r:id="rId21" xr:uid="{627C9CF3-26F1-489D-8445-BE1829DFF47D}"/>
    <hyperlink ref="AJ19" r:id="rId22" xr:uid="{A51D1CC7-F313-47F4-B484-51ED66A37B7A}"/>
    <hyperlink ref="AM19" r:id="rId23" xr:uid="{CC9704BA-E40D-4388-A1B0-A50DD3D41123}"/>
    <hyperlink ref="AJ20" r:id="rId24" xr:uid="{23F8B7B6-21BF-4DFF-8684-95086445FB5D}"/>
    <hyperlink ref="AM20" r:id="rId25" xr:uid="{FD8DE312-8DEF-480E-940C-74ABF33055C1}"/>
    <hyperlink ref="AM21" r:id="rId26" xr:uid="{32847B2B-8232-449F-89D7-192DAF1E9BC6}"/>
    <hyperlink ref="AJ22" r:id="rId27" xr:uid="{6A16C36E-2105-46B7-8C8C-916229CF13F0}"/>
    <hyperlink ref="AM22" r:id="rId28" xr:uid="{3903936B-C992-41BE-8453-3C5E4F102094}"/>
    <hyperlink ref="AJ23" r:id="rId29" xr:uid="{47E2E78F-1DA3-4016-A993-E3E1EB63BF6F}"/>
    <hyperlink ref="AM23" r:id="rId30" xr:uid="{24BB999B-59E5-48CF-BD25-5FBA8CA307AB}"/>
    <hyperlink ref="AJ24" r:id="rId31" xr:uid="{780FBEDD-F9B2-48B8-9483-7590FF692DC5}"/>
    <hyperlink ref="AM24" r:id="rId32" xr:uid="{5EA5229F-2BB7-4913-BE55-9C5448F31BCC}"/>
    <hyperlink ref="AJ18" r:id="rId33" xr:uid="{5D426E7D-B2E0-44A7-BE5E-B5A0F71D17C2}"/>
    <hyperlink ref="AM18" r:id="rId34" display="Quadruple therapies show a higher eradication rate compared to standard triple therapy for Helicobacter pylori infection within the LEGACy consortium. A multicenter observational study in European and Latin American countries - Medel‐Jara - United European Gastroenterology Journal - Wiley Online Library" xr:uid="{AD1FAE08-BD28-460F-A63A-E237F2E95A30}"/>
    <hyperlink ref="AM26" r:id="rId35" xr:uid="{983395E7-13C4-4D64-8BD2-5B3F60A89EDF}"/>
    <hyperlink ref="AJ29" r:id="rId36" xr:uid="{D33A11A8-EDE2-4DA2-928A-3BC2F7291D86}"/>
    <hyperlink ref="AM29" r:id="rId37" xr:uid="{0B20B034-2E6C-454C-A6FD-D883A6F2C87A}"/>
    <hyperlink ref="AM28" r:id="rId38" xr:uid="{39425892-92BE-4B8A-BA8B-63EFD4167DC8}"/>
    <hyperlink ref="AJ30" r:id="rId39" xr:uid="{5261853C-25B0-4385-BEFF-2453DB7F2C69}"/>
    <hyperlink ref="AM30" r:id="rId40" xr:uid="{76654A14-68BD-46FD-B3E4-0AFCF16BFEFA}"/>
    <hyperlink ref="AJ31" r:id="rId41" xr:uid="{8C523F92-B708-4573-BE8A-2F20723ACC3B}"/>
    <hyperlink ref="AJ32" r:id="rId42" xr:uid="{4E4D6121-9A5F-4029-AAE3-3155042A3826}"/>
    <hyperlink ref="AM32" r:id="rId43" xr:uid="{4B33EEF7-566E-461C-8484-60508B21D1E0}"/>
    <hyperlink ref="AM33" r:id="rId44" xr:uid="{B486EE2D-2412-4316-BCA6-0F82D2E8E015}"/>
    <hyperlink ref="AM31" r:id="rId45" xr:uid="{86902AAA-5142-402E-B6F9-483F3E1B86C7}"/>
    <hyperlink ref="AJ25" r:id="rId46" xr:uid="{5CE1F0B1-F0A7-4F7F-B92A-ED49D2850014}"/>
    <hyperlink ref="AM25" r:id="rId47" xr:uid="{C5CB3A47-DE3E-4976-B963-AEAC49BADF86}"/>
    <hyperlink ref="AJ27" r:id="rId48" xr:uid="{03463082-49C0-4EE4-81CE-BE3C8FC0187A}"/>
    <hyperlink ref="AM27" r:id="rId49" xr:uid="{8FA0E310-9763-4C32-BD34-729145664773}"/>
    <hyperlink ref="AJ34" r:id="rId50" xr:uid="{3C2A3854-0656-435C-A5EB-C93F24244699}"/>
    <hyperlink ref="AM34" r:id="rId51" xr:uid="{8584E37A-4474-4661-9A9E-C0749D486CF5}"/>
    <hyperlink ref="AJ35" r:id="rId52" xr:uid="{D473881B-DCE6-4725-B1F8-20F94827039C}"/>
    <hyperlink ref="AM35" r:id="rId53" xr:uid="{E3D4D835-873C-46B5-8C50-5EC178DEFBC7}"/>
    <hyperlink ref="AJ36" r:id="rId54" xr:uid="{95A347EC-ED46-4152-964B-A30E9B5B24C9}"/>
    <hyperlink ref="AM36" r:id="rId55" xr:uid="{3909953A-4C47-47D2-8554-F8DD0FA6F37E}"/>
  </hyperlinks>
  <pageMargins left="0.7" right="0.7" top="0.75" bottom="0.75" header="0.3" footer="0.3"/>
  <pageSetup orientation="portrait" r:id="rId56"/>
  <ignoredErrors>
    <ignoredError sqref="C7:C35"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7CA00-372D-44F4-B865-3B607B5F2F0B}">
  <sheetPr>
    <tabColor theme="5" tint="0.59999389629810485"/>
  </sheetPr>
  <dimension ref="A1:MR34"/>
  <sheetViews>
    <sheetView zoomScale="60" zoomScaleNormal="60" workbookViewId="0">
      <pane xSplit="16" ySplit="7" topLeftCell="Q8" activePane="bottomRight" state="frozen"/>
      <selection pane="topRight" activeCell="Q1" sqref="Q1"/>
      <selection pane="bottomLeft" activeCell="A8" sqref="A8"/>
      <selection pane="bottomRight" activeCell="J2" sqref="J2"/>
    </sheetView>
  </sheetViews>
  <sheetFormatPr baseColWidth="10" defaultColWidth="11.5" defaultRowHeight="15" x14ac:dyDescent="0.2"/>
  <cols>
    <col min="1" max="1" width="5.83203125" style="6" customWidth="1"/>
    <col min="2" max="2" width="11" style="6" customWidth="1"/>
    <col min="3" max="3" width="9.33203125" style="6" customWidth="1"/>
    <col min="4" max="5" width="10.6640625" style="6" customWidth="1"/>
    <col min="6" max="8" width="14.5" style="20" customWidth="1"/>
    <col min="9" max="9" width="55.83203125" style="19" customWidth="1"/>
    <col min="10" max="10" width="53.5" style="19" customWidth="1"/>
    <col min="11" max="11" width="13.5" style="20" hidden="1" customWidth="1"/>
    <col min="12" max="12" width="28.5" style="19" hidden="1" customWidth="1"/>
    <col min="13" max="15" width="30.5" style="19" hidden="1" customWidth="1"/>
    <col min="16" max="16" width="29.1640625" style="19" hidden="1" customWidth="1"/>
    <col min="17" max="17" width="15.33203125" style="20" customWidth="1"/>
    <col min="18" max="18" width="61.6640625" style="19" customWidth="1"/>
    <col min="19" max="19" width="21.1640625" style="20" customWidth="1"/>
    <col min="20" max="20" width="61.5" style="19" customWidth="1"/>
    <col min="21" max="21" width="35.33203125" style="19" customWidth="1"/>
    <col min="22" max="22" width="12.83203125" style="20" customWidth="1"/>
    <col min="23" max="23" width="15.1640625" style="19" customWidth="1"/>
    <col min="24" max="26" width="21.5" style="19" customWidth="1"/>
    <col min="27" max="27" width="33.5" style="19" customWidth="1"/>
    <col min="28" max="30" width="14.83203125" style="20" customWidth="1"/>
    <col min="31" max="31" width="14.1640625" style="19" customWidth="1"/>
    <col min="32" max="33" width="16" style="21" customWidth="1"/>
    <col min="34" max="34" width="19.6640625" style="19" customWidth="1"/>
    <col min="35" max="35" width="18.6640625" style="19" customWidth="1"/>
    <col min="36" max="36" width="15.1640625" style="19" customWidth="1"/>
    <col min="37" max="37" width="11.5" style="19"/>
    <col min="38" max="38" width="45" style="19" customWidth="1"/>
    <col min="39" max="39" width="11.5" style="19"/>
    <col min="40" max="40" width="13.5" style="19" customWidth="1"/>
    <col min="41" max="41" width="53.6640625" style="19" customWidth="1"/>
    <col min="42" max="42" width="15.5" style="19" customWidth="1"/>
    <col min="43" max="43" width="26" style="19" customWidth="1"/>
    <col min="44" max="16384" width="11.5" style="19"/>
  </cols>
  <sheetData>
    <row r="1" spans="1:42" x14ac:dyDescent="0.2">
      <c r="Q1" s="19"/>
      <c r="S1" s="19"/>
    </row>
    <row r="2" spans="1:42" ht="24" x14ac:dyDescent="0.2">
      <c r="I2" s="67" t="s">
        <v>22</v>
      </c>
      <c r="Q2" s="19"/>
      <c r="S2" s="19"/>
      <c r="AJ2" s="172" t="s">
        <v>23</v>
      </c>
    </row>
    <row r="3" spans="1:42" x14ac:dyDescent="0.2">
      <c r="Q3" s="19"/>
      <c r="S3" s="19"/>
      <c r="AJ3" s="172"/>
    </row>
    <row r="4" spans="1:42" ht="20" thickBot="1" x14ac:dyDescent="0.25">
      <c r="I4" s="258" t="s">
        <v>752</v>
      </c>
      <c r="Q4" s="19"/>
      <c r="S4" s="19"/>
      <c r="AJ4" s="172"/>
    </row>
    <row r="5" spans="1:42" ht="27" thickBot="1" x14ac:dyDescent="0.25">
      <c r="I5" s="30">
        <v>2023</v>
      </c>
      <c r="Q5" s="19"/>
      <c r="S5" s="19"/>
      <c r="AJ5" s="19" t="s">
        <v>24</v>
      </c>
    </row>
    <row r="6" spans="1:42" ht="17" thickBot="1" x14ac:dyDescent="0.25">
      <c r="C6" s="439" t="s">
        <v>25</v>
      </c>
      <c r="D6" s="439"/>
      <c r="E6" s="439"/>
      <c r="F6" s="439"/>
      <c r="G6" s="439"/>
      <c r="H6" s="439"/>
      <c r="I6" s="439"/>
      <c r="J6" s="439"/>
      <c r="K6" s="439"/>
      <c r="L6" s="439"/>
      <c r="M6" s="439"/>
      <c r="N6" s="439"/>
      <c r="O6" s="439"/>
      <c r="P6" s="439"/>
      <c r="Q6" s="439"/>
      <c r="R6" s="439"/>
      <c r="S6" s="439"/>
      <c r="T6" s="439"/>
      <c r="U6" s="439"/>
      <c r="V6" s="439"/>
      <c r="W6" s="439"/>
      <c r="X6" s="439"/>
      <c r="Y6" s="439"/>
      <c r="Z6" s="439"/>
      <c r="AA6" s="439"/>
      <c r="AB6" s="439"/>
      <c r="AC6" s="439"/>
      <c r="AD6" s="439"/>
      <c r="AE6" s="440"/>
      <c r="AF6" s="26"/>
      <c r="AG6" s="26"/>
      <c r="AH6" s="52" t="s">
        <v>26</v>
      </c>
      <c r="AI6" s="53" t="s">
        <v>27</v>
      </c>
      <c r="AJ6" s="446" t="s">
        <v>28</v>
      </c>
      <c r="AK6" s="446"/>
      <c r="AL6" s="446"/>
      <c r="AM6" s="446"/>
      <c r="AN6" s="446"/>
      <c r="AO6" s="447"/>
    </row>
    <row r="7" spans="1:42" ht="48" x14ac:dyDescent="0.2">
      <c r="A7" s="79" t="s">
        <v>29</v>
      </c>
      <c r="B7" s="237" t="s">
        <v>759</v>
      </c>
      <c r="C7" s="27" t="s">
        <v>7</v>
      </c>
      <c r="D7" s="72" t="s">
        <v>30</v>
      </c>
      <c r="E7" s="72" t="s">
        <v>1131</v>
      </c>
      <c r="F7" s="27" t="s">
        <v>31</v>
      </c>
      <c r="G7" s="27"/>
      <c r="H7" s="27"/>
      <c r="I7" s="27" t="s">
        <v>32</v>
      </c>
      <c r="J7" s="27" t="s">
        <v>33</v>
      </c>
      <c r="K7" s="27" t="s">
        <v>34</v>
      </c>
      <c r="L7" s="27" t="s">
        <v>35</v>
      </c>
      <c r="M7" s="27" t="s">
        <v>36</v>
      </c>
      <c r="N7" s="27" t="s">
        <v>37</v>
      </c>
      <c r="O7" s="27" t="s">
        <v>38</v>
      </c>
      <c r="P7" s="27" t="s">
        <v>39</v>
      </c>
      <c r="Q7" s="209"/>
      <c r="R7" s="72" t="s">
        <v>40</v>
      </c>
      <c r="S7" s="72"/>
      <c r="T7" s="72" t="s">
        <v>41</v>
      </c>
      <c r="U7" s="27" t="s">
        <v>42</v>
      </c>
      <c r="V7" s="72" t="s">
        <v>43</v>
      </c>
      <c r="W7" s="27" t="s">
        <v>44</v>
      </c>
      <c r="X7" s="27" t="s">
        <v>45</v>
      </c>
      <c r="Y7" s="27" t="s">
        <v>46</v>
      </c>
      <c r="Z7" s="27" t="s">
        <v>47</v>
      </c>
      <c r="AA7" s="27" t="s">
        <v>48</v>
      </c>
      <c r="AB7" s="27" t="s">
        <v>49</v>
      </c>
      <c r="AC7" s="27" t="s">
        <v>50</v>
      </c>
      <c r="AD7" s="27" t="s">
        <v>51</v>
      </c>
      <c r="AE7" s="27" t="s">
        <v>52</v>
      </c>
      <c r="AF7" s="51" t="s">
        <v>53</v>
      </c>
      <c r="AG7" s="80" t="s">
        <v>54</v>
      </c>
      <c r="AH7" s="173"/>
      <c r="AI7" s="173"/>
      <c r="AJ7" s="50" t="s">
        <v>55</v>
      </c>
      <c r="AK7" s="14" t="s">
        <v>56</v>
      </c>
      <c r="AL7" s="14" t="s">
        <v>57</v>
      </c>
      <c r="AM7" s="14" t="s">
        <v>58</v>
      </c>
      <c r="AN7" s="14" t="s">
        <v>59</v>
      </c>
      <c r="AO7" s="14" t="s">
        <v>60</v>
      </c>
      <c r="AP7" s="14" t="s">
        <v>61</v>
      </c>
    </row>
    <row r="8" spans="1:42" ht="48" x14ac:dyDescent="0.2">
      <c r="A8" s="37">
        <v>1</v>
      </c>
      <c r="B8" s="15">
        <v>2023</v>
      </c>
      <c r="C8" s="15" t="s">
        <v>62</v>
      </c>
      <c r="D8" s="15">
        <v>10</v>
      </c>
      <c r="E8" s="15">
        <v>1</v>
      </c>
      <c r="F8" s="96" t="s">
        <v>63</v>
      </c>
      <c r="G8" s="96"/>
      <c r="H8" s="96"/>
      <c r="I8" s="33" t="s">
        <v>64</v>
      </c>
      <c r="J8" s="33" t="s">
        <v>907</v>
      </c>
      <c r="K8" s="33"/>
      <c r="L8" s="33"/>
      <c r="M8" s="33"/>
      <c r="N8" s="33"/>
      <c r="O8" s="33"/>
      <c r="P8" s="33"/>
      <c r="Q8" s="33">
        <v>1</v>
      </c>
      <c r="R8" s="33" t="s">
        <v>541</v>
      </c>
      <c r="S8" s="33">
        <v>1</v>
      </c>
      <c r="T8" s="33" t="s">
        <v>65</v>
      </c>
      <c r="U8" s="33"/>
      <c r="V8" s="33"/>
      <c r="W8" s="33"/>
      <c r="X8" s="33"/>
      <c r="Y8" s="33"/>
      <c r="Z8" s="33"/>
      <c r="AA8" s="33" t="s">
        <v>66</v>
      </c>
      <c r="AB8" s="33" t="s">
        <v>67</v>
      </c>
      <c r="AC8" s="33"/>
      <c r="AD8" s="33"/>
      <c r="AE8" s="33"/>
      <c r="AF8" s="78"/>
      <c r="AG8" s="78"/>
      <c r="AH8" s="16"/>
      <c r="AI8" s="16"/>
      <c r="AJ8" s="17">
        <v>44978</v>
      </c>
      <c r="AK8" s="17" t="s">
        <v>68</v>
      </c>
      <c r="AL8" s="17" t="s">
        <v>69</v>
      </c>
      <c r="AM8" s="174" t="s">
        <v>70</v>
      </c>
      <c r="AN8" s="33"/>
      <c r="AO8" s="85" t="s">
        <v>71</v>
      </c>
      <c r="AP8" s="33">
        <v>1</v>
      </c>
    </row>
    <row r="9" spans="1:42" ht="192" x14ac:dyDescent="0.2">
      <c r="A9" s="37">
        <v>2</v>
      </c>
      <c r="B9" s="15">
        <v>2023</v>
      </c>
      <c r="C9" s="33">
        <v>2</v>
      </c>
      <c r="D9" s="33">
        <v>2</v>
      </c>
      <c r="E9" s="33"/>
      <c r="F9" s="96" t="s">
        <v>63</v>
      </c>
      <c r="G9" s="96"/>
      <c r="H9" s="96"/>
      <c r="I9" s="33" t="s">
        <v>72</v>
      </c>
      <c r="J9" s="33" t="s">
        <v>73</v>
      </c>
      <c r="K9" s="33"/>
      <c r="L9" s="33"/>
      <c r="M9" s="33"/>
      <c r="N9" s="33"/>
      <c r="O9" s="33"/>
      <c r="P9" s="33"/>
      <c r="Q9" s="33">
        <v>1</v>
      </c>
      <c r="R9" s="33" t="s">
        <v>74</v>
      </c>
      <c r="S9" s="33">
        <v>0</v>
      </c>
      <c r="T9" s="33"/>
      <c r="U9" s="33"/>
      <c r="V9" s="33"/>
      <c r="W9" s="33"/>
      <c r="X9" s="33"/>
      <c r="Y9" s="33"/>
      <c r="Z9" s="33"/>
      <c r="AA9" s="33" t="s">
        <v>75</v>
      </c>
      <c r="AB9" s="33" t="s">
        <v>67</v>
      </c>
      <c r="AC9" s="33"/>
      <c r="AD9" s="33"/>
      <c r="AE9" s="33"/>
      <c r="AF9" s="78"/>
      <c r="AG9" s="78"/>
      <c r="AH9" s="16"/>
      <c r="AI9" s="16"/>
      <c r="AJ9" s="136">
        <v>45086</v>
      </c>
      <c r="AK9" s="17" t="s">
        <v>76</v>
      </c>
      <c r="AL9" s="17" t="s">
        <v>77</v>
      </c>
      <c r="AM9" s="17" t="s">
        <v>78</v>
      </c>
      <c r="AN9" s="33"/>
      <c r="AO9" s="85" t="s">
        <v>79</v>
      </c>
      <c r="AP9" s="33">
        <v>1</v>
      </c>
    </row>
    <row r="10" spans="1:42" ht="126.75" customHeight="1" x14ac:dyDescent="0.2">
      <c r="A10" s="37">
        <v>3</v>
      </c>
      <c r="B10" s="15">
        <v>2023</v>
      </c>
      <c r="C10" s="15" t="s">
        <v>80</v>
      </c>
      <c r="D10" s="33">
        <v>10</v>
      </c>
      <c r="E10" s="33">
        <v>1</v>
      </c>
      <c r="F10" s="96" t="s">
        <v>63</v>
      </c>
      <c r="G10" s="96"/>
      <c r="H10" s="96"/>
      <c r="I10" s="33" t="s">
        <v>81</v>
      </c>
      <c r="J10" s="83" t="s">
        <v>82</v>
      </c>
      <c r="K10" s="33"/>
      <c r="L10" s="33"/>
      <c r="M10" s="33"/>
      <c r="N10" s="33"/>
      <c r="O10" s="33"/>
      <c r="P10" s="33"/>
      <c r="Q10" s="33">
        <v>1</v>
      </c>
      <c r="R10" s="33" t="s">
        <v>83</v>
      </c>
      <c r="S10" s="33">
        <v>1</v>
      </c>
      <c r="T10" s="33" t="s">
        <v>84</v>
      </c>
      <c r="U10" s="33"/>
      <c r="V10" s="33"/>
      <c r="W10" s="33"/>
      <c r="X10" s="33"/>
      <c r="Y10" s="33"/>
      <c r="Z10" s="33"/>
      <c r="AA10" s="33" t="s">
        <v>75</v>
      </c>
      <c r="AB10" s="33" t="s">
        <v>67</v>
      </c>
      <c r="AC10" s="33"/>
      <c r="AD10" s="33"/>
      <c r="AE10" s="33"/>
      <c r="AF10" s="78"/>
      <c r="AG10" s="78"/>
      <c r="AH10" s="16"/>
      <c r="AI10" s="16"/>
      <c r="AJ10" s="136">
        <v>45147</v>
      </c>
      <c r="AK10" s="17" t="s">
        <v>85</v>
      </c>
      <c r="AL10" s="17" t="s">
        <v>86</v>
      </c>
      <c r="AM10" s="140" t="s">
        <v>87</v>
      </c>
      <c r="AN10" s="33"/>
      <c r="AO10" s="85" t="s">
        <v>88</v>
      </c>
      <c r="AP10" s="33">
        <v>1</v>
      </c>
    </row>
    <row r="11" spans="1:42" ht="160" x14ac:dyDescent="0.2">
      <c r="A11" s="37">
        <v>4</v>
      </c>
      <c r="B11" s="15">
        <v>2023</v>
      </c>
      <c r="C11" s="33">
        <v>2</v>
      </c>
      <c r="D11" s="33">
        <v>2</v>
      </c>
      <c r="E11" s="33"/>
      <c r="F11" s="96" t="s">
        <v>9</v>
      </c>
      <c r="G11" s="96"/>
      <c r="H11" s="96">
        <v>1</v>
      </c>
      <c r="I11" s="129" t="s">
        <v>89</v>
      </c>
      <c r="J11" s="33" t="s">
        <v>90</v>
      </c>
      <c r="K11" s="33"/>
      <c r="L11" s="33"/>
      <c r="M11" s="33"/>
      <c r="N11" s="33"/>
      <c r="O11" s="33"/>
      <c r="P11" s="33"/>
      <c r="Q11" s="33">
        <v>1</v>
      </c>
      <c r="R11" s="33" t="s">
        <v>91</v>
      </c>
      <c r="S11" s="33">
        <v>0</v>
      </c>
      <c r="T11" s="33"/>
      <c r="U11" s="33"/>
      <c r="V11" s="33"/>
      <c r="W11" s="33"/>
      <c r="X11" s="33"/>
      <c r="Y11" s="33"/>
      <c r="Z11" s="33"/>
      <c r="AA11" s="33" t="s">
        <v>92</v>
      </c>
      <c r="AB11" s="33" t="s">
        <v>67</v>
      </c>
      <c r="AC11" s="33"/>
      <c r="AD11" s="33"/>
      <c r="AE11" s="33"/>
      <c r="AF11" s="78"/>
      <c r="AG11" s="78"/>
      <c r="AH11" s="16"/>
      <c r="AI11" s="16"/>
      <c r="AJ11" s="17">
        <v>45231</v>
      </c>
      <c r="AK11" s="17" t="s">
        <v>93</v>
      </c>
      <c r="AL11" s="141" t="s">
        <v>94</v>
      </c>
      <c r="AM11" s="17" t="s">
        <v>95</v>
      </c>
      <c r="AN11" s="33"/>
      <c r="AO11" s="85" t="s">
        <v>96</v>
      </c>
      <c r="AP11" s="33">
        <v>1</v>
      </c>
    </row>
    <row r="12" spans="1:42" ht="132.5" customHeight="1" x14ac:dyDescent="0.2">
      <c r="A12" s="37">
        <v>5</v>
      </c>
      <c r="B12" s="15">
        <v>2023</v>
      </c>
      <c r="C12" s="33">
        <v>2</v>
      </c>
      <c r="D12" s="33">
        <v>2</v>
      </c>
      <c r="E12" s="33"/>
      <c r="F12" s="96" t="s">
        <v>9</v>
      </c>
      <c r="G12" s="96">
        <v>7.3</v>
      </c>
      <c r="H12" s="96">
        <v>0</v>
      </c>
      <c r="I12" s="33" t="s">
        <v>97</v>
      </c>
      <c r="J12" s="83" t="s">
        <v>98</v>
      </c>
      <c r="K12" s="33"/>
      <c r="L12" s="33"/>
      <c r="M12" s="33"/>
      <c r="N12" s="33"/>
      <c r="O12" s="33"/>
      <c r="P12" s="33"/>
      <c r="Q12" s="33">
        <v>1</v>
      </c>
      <c r="R12" s="46" t="s">
        <v>542</v>
      </c>
      <c r="S12" s="33">
        <v>1</v>
      </c>
      <c r="T12" s="46" t="s">
        <v>543</v>
      </c>
      <c r="U12" s="33"/>
      <c r="V12" s="33"/>
      <c r="W12" s="33"/>
      <c r="X12" s="33"/>
      <c r="Y12" s="33"/>
      <c r="Z12" s="33"/>
      <c r="AA12" s="33" t="s">
        <v>99</v>
      </c>
      <c r="AB12" s="33" t="s">
        <v>67</v>
      </c>
      <c r="AC12" s="33"/>
      <c r="AD12" s="33"/>
      <c r="AE12" s="33"/>
      <c r="AF12" s="78"/>
      <c r="AG12" s="78"/>
      <c r="AH12" s="16"/>
      <c r="AI12" s="16"/>
      <c r="AJ12" s="136" t="s">
        <v>100</v>
      </c>
      <c r="AK12" s="17" t="s">
        <v>101</v>
      </c>
      <c r="AL12" s="141" t="s">
        <v>102</v>
      </c>
      <c r="AM12" s="17" t="s">
        <v>103</v>
      </c>
      <c r="AN12" s="33"/>
      <c r="AO12" s="85" t="s">
        <v>104</v>
      </c>
      <c r="AP12" s="33">
        <v>1</v>
      </c>
    </row>
    <row r="13" spans="1:42" ht="64" x14ac:dyDescent="0.2">
      <c r="A13" s="37">
        <v>6</v>
      </c>
      <c r="B13" s="15">
        <v>2023</v>
      </c>
      <c r="C13" s="33">
        <v>3</v>
      </c>
      <c r="D13" s="33">
        <v>3</v>
      </c>
      <c r="E13" s="33"/>
      <c r="F13" s="96" t="s">
        <v>105</v>
      </c>
      <c r="G13" s="96"/>
      <c r="H13" s="96"/>
      <c r="I13" s="33" t="s">
        <v>106</v>
      </c>
      <c r="J13" s="33" t="s">
        <v>107</v>
      </c>
      <c r="K13" s="33"/>
      <c r="L13" s="33"/>
      <c r="M13" s="33"/>
      <c r="N13" s="33"/>
      <c r="O13" s="33"/>
      <c r="P13" s="33"/>
      <c r="Q13" s="33">
        <v>1</v>
      </c>
      <c r="R13" s="33" t="s">
        <v>108</v>
      </c>
      <c r="S13" s="33">
        <v>1</v>
      </c>
      <c r="T13" s="33" t="s">
        <v>109</v>
      </c>
      <c r="U13" s="33"/>
      <c r="V13" s="33"/>
      <c r="W13" s="33"/>
      <c r="X13" s="33"/>
      <c r="Y13" s="33"/>
      <c r="Z13" s="33"/>
      <c r="AA13" s="33" t="s">
        <v>110</v>
      </c>
      <c r="AB13" s="33" t="s">
        <v>67</v>
      </c>
      <c r="AC13" s="33"/>
      <c r="AD13" s="33"/>
      <c r="AE13" s="33"/>
      <c r="AF13" s="78"/>
      <c r="AG13" s="78"/>
      <c r="AH13" s="16"/>
      <c r="AI13" s="16"/>
      <c r="AJ13" s="136">
        <v>45030</v>
      </c>
      <c r="AK13" s="17" t="s">
        <v>111</v>
      </c>
      <c r="AL13" s="141" t="s">
        <v>112</v>
      </c>
      <c r="AM13" s="17" t="s">
        <v>113</v>
      </c>
      <c r="AN13" s="33"/>
      <c r="AO13" s="85" t="s">
        <v>114</v>
      </c>
      <c r="AP13" s="33">
        <v>1</v>
      </c>
    </row>
    <row r="14" spans="1:42" ht="48" x14ac:dyDescent="0.2">
      <c r="A14" s="37">
        <v>7</v>
      </c>
      <c r="B14" s="15">
        <v>2023</v>
      </c>
      <c r="C14" s="33">
        <v>3</v>
      </c>
      <c r="D14" s="33">
        <v>3</v>
      </c>
      <c r="E14" s="33"/>
      <c r="F14" s="96" t="s">
        <v>105</v>
      </c>
      <c r="G14" s="96"/>
      <c r="H14" s="96"/>
      <c r="I14" s="33" t="s">
        <v>115</v>
      </c>
      <c r="J14" s="33" t="s">
        <v>116</v>
      </c>
      <c r="K14" s="33"/>
      <c r="L14" s="33"/>
      <c r="M14" s="33"/>
      <c r="N14" s="33"/>
      <c r="O14" s="33"/>
      <c r="P14" s="33"/>
      <c r="Q14" s="33">
        <v>0</v>
      </c>
      <c r="R14" s="33"/>
      <c r="S14" s="57">
        <v>2</v>
      </c>
      <c r="T14" s="56" t="s">
        <v>544</v>
      </c>
      <c r="U14" s="33"/>
      <c r="V14" s="33"/>
      <c r="W14" s="33"/>
      <c r="X14" s="33"/>
      <c r="Y14" s="33"/>
      <c r="Z14" s="33"/>
      <c r="AA14" s="33" t="s">
        <v>110</v>
      </c>
      <c r="AB14" s="33" t="s">
        <v>67</v>
      </c>
      <c r="AC14" s="33"/>
      <c r="AD14" s="33"/>
      <c r="AE14" s="33"/>
      <c r="AF14" s="78"/>
      <c r="AG14" s="78"/>
      <c r="AH14" s="16"/>
      <c r="AI14" s="16"/>
      <c r="AJ14" s="136">
        <v>45012</v>
      </c>
      <c r="AK14" s="17" t="s">
        <v>117</v>
      </c>
      <c r="AL14" s="141" t="s">
        <v>118</v>
      </c>
      <c r="AM14" s="17" t="s">
        <v>113</v>
      </c>
      <c r="AN14" s="33"/>
      <c r="AO14" s="85" t="s">
        <v>119</v>
      </c>
      <c r="AP14" s="33">
        <v>1</v>
      </c>
    </row>
    <row r="15" spans="1:42" ht="32" x14ac:dyDescent="0.2">
      <c r="A15" s="37">
        <v>8</v>
      </c>
      <c r="B15" s="15">
        <v>2023</v>
      </c>
      <c r="C15" s="33">
        <v>2</v>
      </c>
      <c r="D15" s="33">
        <v>2</v>
      </c>
      <c r="E15" s="33"/>
      <c r="F15" s="96" t="s">
        <v>9</v>
      </c>
      <c r="G15" s="96"/>
      <c r="H15" s="96">
        <v>0</v>
      </c>
      <c r="I15" s="33" t="s">
        <v>120</v>
      </c>
      <c r="J15" s="33" t="s">
        <v>121</v>
      </c>
      <c r="K15" s="33"/>
      <c r="L15" s="33"/>
      <c r="M15" s="33"/>
      <c r="N15" s="33"/>
      <c r="O15" s="33"/>
      <c r="P15" s="33"/>
      <c r="Q15" s="33">
        <v>1</v>
      </c>
      <c r="R15" s="46" t="s">
        <v>546</v>
      </c>
      <c r="S15" s="33">
        <v>1</v>
      </c>
      <c r="T15" s="213" t="s">
        <v>545</v>
      </c>
      <c r="U15" s="33"/>
      <c r="V15" s="33"/>
      <c r="W15" s="33"/>
      <c r="X15" s="33"/>
      <c r="Y15" s="33"/>
      <c r="Z15" s="33"/>
      <c r="AA15" s="33" t="s">
        <v>784</v>
      </c>
      <c r="AB15" s="33" t="s">
        <v>67</v>
      </c>
      <c r="AC15" s="33"/>
      <c r="AD15" s="33"/>
      <c r="AE15" s="33"/>
      <c r="AF15" s="78"/>
      <c r="AG15" s="78"/>
      <c r="AH15" s="16"/>
      <c r="AI15" s="16"/>
      <c r="AJ15" s="136">
        <v>44967</v>
      </c>
      <c r="AK15" s="17" t="s">
        <v>122</v>
      </c>
      <c r="AL15" s="141" t="s">
        <v>123</v>
      </c>
      <c r="AM15" s="17" t="s">
        <v>124</v>
      </c>
      <c r="AN15" s="33"/>
      <c r="AO15" s="85" t="s">
        <v>125</v>
      </c>
      <c r="AP15" s="33">
        <v>1</v>
      </c>
    </row>
    <row r="16" spans="1:42" ht="172.5" customHeight="1" x14ac:dyDescent="0.2">
      <c r="A16" s="37">
        <v>9</v>
      </c>
      <c r="B16" s="15">
        <v>2023</v>
      </c>
      <c r="C16" s="33">
        <v>3</v>
      </c>
      <c r="D16" s="33">
        <v>3</v>
      </c>
      <c r="E16" s="33"/>
      <c r="F16" s="96" t="s">
        <v>9</v>
      </c>
      <c r="G16" s="96">
        <v>3.6</v>
      </c>
      <c r="H16" s="96">
        <v>0</v>
      </c>
      <c r="I16" s="33" t="s">
        <v>126</v>
      </c>
      <c r="J16" s="33" t="s">
        <v>127</v>
      </c>
      <c r="K16" s="33"/>
      <c r="L16" s="33"/>
      <c r="M16" s="33"/>
      <c r="N16" s="33"/>
      <c r="O16" s="33"/>
      <c r="P16" s="33"/>
      <c r="Q16" s="33">
        <v>1</v>
      </c>
      <c r="R16" s="46" t="s">
        <v>547</v>
      </c>
      <c r="S16" s="33">
        <v>1</v>
      </c>
      <c r="T16" s="33" t="s">
        <v>128</v>
      </c>
      <c r="U16" s="33"/>
      <c r="V16" s="33"/>
      <c r="W16" s="33"/>
      <c r="X16" s="33"/>
      <c r="Y16" s="33"/>
      <c r="Z16" s="33"/>
      <c r="AA16" s="33" t="s">
        <v>129</v>
      </c>
      <c r="AB16" s="33" t="s">
        <v>67</v>
      </c>
      <c r="AC16" s="33"/>
      <c r="AD16" s="33"/>
      <c r="AE16" s="33"/>
      <c r="AF16" s="78"/>
      <c r="AG16" s="78"/>
      <c r="AH16" s="16"/>
      <c r="AI16" s="16"/>
      <c r="AJ16" s="136">
        <v>45139</v>
      </c>
      <c r="AK16" s="17" t="s">
        <v>130</v>
      </c>
      <c r="AL16" s="17" t="s">
        <v>131</v>
      </c>
      <c r="AM16" s="17" t="s">
        <v>132</v>
      </c>
      <c r="AN16" s="33"/>
      <c r="AO16" s="85" t="s">
        <v>133</v>
      </c>
      <c r="AP16" s="33">
        <v>1</v>
      </c>
    </row>
    <row r="17" spans="1:356" ht="128" x14ac:dyDescent="0.2">
      <c r="A17" s="37">
        <v>10</v>
      </c>
      <c r="B17" s="15">
        <v>2023</v>
      </c>
      <c r="C17" s="33">
        <v>3</v>
      </c>
      <c r="D17" s="33">
        <v>3</v>
      </c>
      <c r="E17" s="33"/>
      <c r="F17" s="96" t="s">
        <v>9</v>
      </c>
      <c r="G17" s="96"/>
      <c r="H17" s="96">
        <v>1</v>
      </c>
      <c r="I17" s="33" t="s">
        <v>134</v>
      </c>
      <c r="J17" s="33" t="s">
        <v>135</v>
      </c>
      <c r="K17" s="33"/>
      <c r="L17" s="33"/>
      <c r="M17" s="33"/>
      <c r="N17" s="33"/>
      <c r="O17" s="33"/>
      <c r="P17" s="33"/>
      <c r="Q17" s="33">
        <v>1</v>
      </c>
      <c r="R17" s="46" t="s">
        <v>548</v>
      </c>
      <c r="S17" s="33">
        <v>0</v>
      </c>
      <c r="T17" s="33"/>
      <c r="U17" s="33"/>
      <c r="V17" s="33"/>
      <c r="W17" s="33"/>
      <c r="X17" s="33"/>
      <c r="Y17" s="33"/>
      <c r="Z17" s="33"/>
      <c r="AA17" s="33" t="s">
        <v>136</v>
      </c>
      <c r="AB17" s="33" t="s">
        <v>67</v>
      </c>
      <c r="AC17" s="33"/>
      <c r="AD17" s="33"/>
      <c r="AE17" s="33"/>
      <c r="AF17" s="78"/>
      <c r="AG17" s="78"/>
      <c r="AH17" s="16"/>
      <c r="AI17" s="16"/>
      <c r="AJ17" s="136">
        <v>45212</v>
      </c>
      <c r="AK17" s="17" t="s">
        <v>137</v>
      </c>
      <c r="AL17" s="141" t="s">
        <v>138</v>
      </c>
      <c r="AM17" s="17" t="s">
        <v>139</v>
      </c>
      <c r="AN17" s="33"/>
      <c r="AO17" s="85" t="s">
        <v>133</v>
      </c>
      <c r="AP17" s="33">
        <v>1</v>
      </c>
    </row>
    <row r="18" spans="1:356" s="16" customFormat="1" ht="109.5" customHeight="1" x14ac:dyDescent="0.2">
      <c r="A18" s="37">
        <v>11</v>
      </c>
      <c r="B18" s="15">
        <v>2023</v>
      </c>
      <c r="C18" s="15" t="s">
        <v>294</v>
      </c>
      <c r="D18" s="15">
        <v>10</v>
      </c>
      <c r="E18" s="15">
        <v>1</v>
      </c>
      <c r="F18" s="37" t="s">
        <v>9</v>
      </c>
      <c r="G18" s="37"/>
      <c r="H18" s="37">
        <v>0</v>
      </c>
      <c r="I18" s="17" t="s">
        <v>141</v>
      </c>
      <c r="J18" s="22" t="s">
        <v>142</v>
      </c>
      <c r="K18" s="15"/>
      <c r="Q18" s="15">
        <v>0</v>
      </c>
      <c r="S18" s="15">
        <v>1</v>
      </c>
      <c r="T18" s="17" t="s">
        <v>549</v>
      </c>
      <c r="V18" s="15"/>
      <c r="Y18" s="16" t="s">
        <v>143</v>
      </c>
      <c r="Z18" s="18">
        <v>45092</v>
      </c>
      <c r="AA18" s="16" t="s">
        <v>784</v>
      </c>
      <c r="AB18" s="15" t="s">
        <v>144</v>
      </c>
      <c r="AC18" s="15" t="s">
        <v>145</v>
      </c>
      <c r="AD18" s="37">
        <v>1</v>
      </c>
      <c r="AE18" s="16" t="s">
        <v>146</v>
      </c>
      <c r="AF18" s="86">
        <v>1974088</v>
      </c>
      <c r="AG18" s="43"/>
      <c r="AJ18" s="136">
        <v>45110</v>
      </c>
      <c r="AK18" s="16" t="s">
        <v>147</v>
      </c>
      <c r="AL18" s="142" t="s">
        <v>148</v>
      </c>
      <c r="AM18" s="16" t="s">
        <v>149</v>
      </c>
      <c r="AO18" s="85" t="s">
        <v>150</v>
      </c>
      <c r="AP18" s="33">
        <v>1</v>
      </c>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c r="HC18" s="19"/>
      <c r="HD18" s="19"/>
      <c r="HE18" s="19"/>
      <c r="HF18" s="19"/>
      <c r="HG18" s="19"/>
      <c r="HH18" s="19"/>
      <c r="HI18" s="19"/>
      <c r="HJ18" s="19"/>
      <c r="HK18" s="19"/>
      <c r="HL18" s="19"/>
      <c r="HM18" s="19"/>
      <c r="HN18" s="19"/>
      <c r="HO18" s="19"/>
      <c r="HP18" s="19"/>
      <c r="HQ18" s="19"/>
      <c r="HR18" s="19"/>
      <c r="HS18" s="19"/>
      <c r="HT18" s="19"/>
      <c r="HU18" s="19"/>
      <c r="HV18" s="19"/>
      <c r="HW18" s="19"/>
      <c r="HX18" s="19"/>
      <c r="HY18" s="19"/>
      <c r="HZ18" s="19"/>
      <c r="IA18" s="19"/>
      <c r="IB18" s="19"/>
      <c r="IC18" s="19"/>
      <c r="ID18" s="19"/>
      <c r="IE18" s="19"/>
      <c r="IF18" s="19"/>
      <c r="IG18" s="19"/>
      <c r="IH18" s="19"/>
      <c r="II18" s="19"/>
      <c r="IJ18" s="19"/>
      <c r="IK18" s="19"/>
      <c r="IL18" s="19"/>
      <c r="IM18" s="19"/>
      <c r="IN18" s="19"/>
      <c r="IO18" s="19"/>
      <c r="IP18" s="19"/>
      <c r="IQ18" s="19"/>
      <c r="IR18" s="19"/>
      <c r="IS18" s="19"/>
      <c r="IT18" s="19"/>
      <c r="IU18" s="19"/>
      <c r="IV18" s="19"/>
      <c r="IW18" s="19"/>
      <c r="IX18" s="19"/>
      <c r="IY18" s="19"/>
      <c r="IZ18" s="19"/>
      <c r="JA18" s="19"/>
      <c r="JB18" s="19"/>
      <c r="JC18" s="19"/>
      <c r="JD18" s="19"/>
      <c r="JE18" s="19"/>
      <c r="JF18" s="19"/>
      <c r="JG18" s="19"/>
      <c r="JH18" s="19"/>
      <c r="JI18" s="19"/>
      <c r="JJ18" s="19"/>
      <c r="JK18" s="19"/>
      <c r="JL18" s="19"/>
      <c r="JM18" s="19"/>
      <c r="JN18" s="19"/>
      <c r="JO18" s="19"/>
      <c r="JP18" s="19"/>
      <c r="JQ18" s="19"/>
      <c r="JR18" s="19"/>
      <c r="JS18" s="19"/>
      <c r="JT18" s="19"/>
      <c r="JU18" s="19"/>
      <c r="JV18" s="19"/>
      <c r="JW18" s="19"/>
      <c r="JX18" s="19"/>
      <c r="JY18" s="19"/>
      <c r="JZ18" s="19"/>
      <c r="KA18" s="19"/>
      <c r="KB18" s="19"/>
      <c r="KC18" s="19"/>
      <c r="KD18" s="19"/>
      <c r="KE18" s="19"/>
      <c r="KF18" s="19"/>
      <c r="KG18" s="19"/>
      <c r="KH18" s="19"/>
      <c r="KI18" s="19"/>
      <c r="KJ18" s="19"/>
      <c r="KK18" s="19"/>
      <c r="KL18" s="19"/>
      <c r="KM18" s="19"/>
      <c r="KN18" s="19"/>
      <c r="KO18" s="19"/>
      <c r="KP18" s="19"/>
      <c r="KQ18" s="19"/>
      <c r="KR18" s="19"/>
      <c r="KS18" s="19"/>
      <c r="KT18" s="19"/>
      <c r="KU18" s="19"/>
      <c r="KV18" s="19"/>
      <c r="KW18" s="19"/>
      <c r="KX18" s="19"/>
      <c r="KY18" s="19"/>
      <c r="KZ18" s="19"/>
      <c r="LA18" s="19"/>
      <c r="LB18" s="19"/>
      <c r="LC18" s="19"/>
      <c r="LD18" s="19"/>
      <c r="LE18" s="19"/>
      <c r="LF18" s="19"/>
      <c r="LG18" s="19"/>
      <c r="LH18" s="19"/>
      <c r="LI18" s="19"/>
      <c r="LJ18" s="19"/>
      <c r="LK18" s="19"/>
      <c r="LL18" s="19"/>
      <c r="LM18" s="19"/>
      <c r="LN18" s="19"/>
      <c r="LO18" s="19"/>
      <c r="LP18" s="19"/>
      <c r="LQ18" s="19"/>
      <c r="LR18" s="19"/>
      <c r="LS18" s="19"/>
      <c r="LT18" s="19"/>
      <c r="LU18" s="19"/>
      <c r="LV18" s="19"/>
      <c r="LW18" s="19"/>
      <c r="LX18" s="19"/>
      <c r="LY18" s="19"/>
      <c r="LZ18" s="19"/>
      <c r="MA18" s="19"/>
      <c r="MB18" s="19"/>
      <c r="MC18" s="19"/>
      <c r="MD18" s="19"/>
      <c r="ME18" s="19"/>
      <c r="MF18" s="19"/>
      <c r="MG18" s="19"/>
      <c r="MH18" s="19"/>
      <c r="MI18" s="19"/>
      <c r="MJ18" s="19"/>
      <c r="MK18" s="19"/>
      <c r="ML18" s="19"/>
      <c r="MM18" s="19"/>
      <c r="MN18" s="19"/>
      <c r="MO18" s="19"/>
      <c r="MP18" s="19"/>
      <c r="MQ18" s="19"/>
      <c r="MR18" s="19"/>
    </row>
    <row r="19" spans="1:356" ht="48" x14ac:dyDescent="0.2">
      <c r="A19" s="37">
        <v>12</v>
      </c>
      <c r="B19" s="15">
        <v>2023</v>
      </c>
      <c r="C19" s="15">
        <v>4</v>
      </c>
      <c r="D19" s="15">
        <v>4</v>
      </c>
      <c r="E19" s="15"/>
      <c r="F19" s="96" t="s">
        <v>105</v>
      </c>
      <c r="G19" s="96"/>
      <c r="H19" s="96"/>
      <c r="I19" s="17" t="s">
        <v>151</v>
      </c>
      <c r="J19" s="46" t="s">
        <v>152</v>
      </c>
      <c r="K19" s="33">
        <v>3</v>
      </c>
      <c r="L19" s="17" t="s">
        <v>153</v>
      </c>
      <c r="M19" s="17" t="s">
        <v>154</v>
      </c>
      <c r="N19" s="17" t="s">
        <v>155</v>
      </c>
      <c r="O19" s="17" t="s">
        <v>156</v>
      </c>
      <c r="P19" s="17"/>
      <c r="Q19" s="33">
        <v>0</v>
      </c>
      <c r="R19" s="17"/>
      <c r="S19" s="33">
        <v>0</v>
      </c>
      <c r="T19" s="17"/>
      <c r="U19" s="17" t="s">
        <v>157</v>
      </c>
      <c r="V19" s="33"/>
      <c r="W19" s="16" t="s">
        <v>158</v>
      </c>
      <c r="X19" s="16" t="s">
        <v>159</v>
      </c>
      <c r="Y19" s="17" t="s">
        <v>160</v>
      </c>
      <c r="Z19" s="18">
        <v>45126</v>
      </c>
      <c r="AA19" s="16" t="s">
        <v>161</v>
      </c>
      <c r="AB19" s="15" t="s">
        <v>144</v>
      </c>
      <c r="AC19" s="15" t="s">
        <v>162</v>
      </c>
      <c r="AD19" s="37">
        <v>2</v>
      </c>
      <c r="AE19" s="64" t="s">
        <v>163</v>
      </c>
      <c r="AF19" s="44">
        <v>1885569</v>
      </c>
      <c r="AG19" s="44"/>
      <c r="AH19" s="64"/>
      <c r="AI19" s="64"/>
      <c r="AJ19" s="136">
        <v>45154</v>
      </c>
      <c r="AK19" s="143" t="s">
        <v>164</v>
      </c>
      <c r="AL19" s="144" t="s">
        <v>165</v>
      </c>
      <c r="AM19" s="145" t="s">
        <v>166</v>
      </c>
      <c r="AN19" s="16"/>
      <c r="AO19" s="85" t="s">
        <v>167</v>
      </c>
      <c r="AP19" s="33">
        <v>1</v>
      </c>
    </row>
    <row r="20" spans="1:356" ht="48" x14ac:dyDescent="0.2">
      <c r="A20" s="37">
        <v>13</v>
      </c>
      <c r="B20" s="15">
        <v>2023</v>
      </c>
      <c r="C20" s="15">
        <v>4</v>
      </c>
      <c r="D20" s="15">
        <v>4</v>
      </c>
      <c r="E20" s="15"/>
      <c r="F20" s="96" t="s">
        <v>9</v>
      </c>
      <c r="G20" s="96"/>
      <c r="H20" s="96">
        <v>0</v>
      </c>
      <c r="I20" s="17" t="s">
        <v>168</v>
      </c>
      <c r="J20" s="17" t="s">
        <v>169</v>
      </c>
      <c r="K20" s="33">
        <v>4</v>
      </c>
      <c r="L20" s="17" t="s">
        <v>170</v>
      </c>
      <c r="M20" s="17"/>
      <c r="N20" s="17" t="s">
        <v>155</v>
      </c>
      <c r="O20" s="17" t="s">
        <v>155</v>
      </c>
      <c r="P20" s="17" t="s">
        <v>171</v>
      </c>
      <c r="Q20" s="33">
        <v>0</v>
      </c>
      <c r="R20" s="17"/>
      <c r="S20" s="33">
        <v>0</v>
      </c>
      <c r="T20" s="17"/>
      <c r="U20" s="17" t="s">
        <v>172</v>
      </c>
      <c r="V20" s="33"/>
      <c r="W20" s="16" t="s">
        <v>173</v>
      </c>
      <c r="X20" s="16"/>
      <c r="Y20" s="17" t="s">
        <v>174</v>
      </c>
      <c r="Z20" s="18">
        <v>45145</v>
      </c>
      <c r="AA20" s="17" t="s">
        <v>175</v>
      </c>
      <c r="AB20" s="15" t="s">
        <v>144</v>
      </c>
      <c r="AC20" s="15" t="s">
        <v>162</v>
      </c>
      <c r="AD20" s="37">
        <v>3</v>
      </c>
      <c r="AE20" s="17" t="s">
        <v>176</v>
      </c>
      <c r="AF20" s="44">
        <v>2452173</v>
      </c>
      <c r="AG20" s="44"/>
      <c r="AH20" s="17"/>
      <c r="AI20" s="17"/>
      <c r="AJ20" s="136">
        <v>45160</v>
      </c>
      <c r="AK20" s="16" t="s">
        <v>177</v>
      </c>
      <c r="AL20" s="146" t="s">
        <v>178</v>
      </c>
      <c r="AM20" s="16" t="s">
        <v>179</v>
      </c>
      <c r="AN20" s="16"/>
      <c r="AO20" s="85" t="s">
        <v>180</v>
      </c>
      <c r="AP20" s="33">
        <v>1</v>
      </c>
    </row>
    <row r="21" spans="1:356" ht="48" x14ac:dyDescent="0.2">
      <c r="A21" s="37">
        <v>14</v>
      </c>
      <c r="B21" s="15">
        <v>2023</v>
      </c>
      <c r="C21" s="15">
        <v>5</v>
      </c>
      <c r="D21" s="15">
        <v>5</v>
      </c>
      <c r="E21" s="15"/>
      <c r="F21" s="96" t="s">
        <v>9</v>
      </c>
      <c r="G21" s="96"/>
      <c r="H21" s="96">
        <v>1</v>
      </c>
      <c r="I21" s="17" t="s">
        <v>181</v>
      </c>
      <c r="J21" s="17" t="s">
        <v>182</v>
      </c>
      <c r="K21" s="33"/>
      <c r="L21" s="17"/>
      <c r="M21" s="17"/>
      <c r="N21" s="17"/>
      <c r="O21" s="17"/>
      <c r="P21" s="17"/>
      <c r="Q21" s="33">
        <v>0</v>
      </c>
      <c r="R21" s="17"/>
      <c r="S21" s="33">
        <v>1</v>
      </c>
      <c r="T21" s="17" t="s">
        <v>183</v>
      </c>
      <c r="U21" s="17"/>
      <c r="V21" s="33"/>
      <c r="W21" s="16"/>
      <c r="X21" s="16"/>
      <c r="Y21" s="17" t="s">
        <v>184</v>
      </c>
      <c r="Z21" s="18">
        <v>45212</v>
      </c>
      <c r="AA21" s="17" t="s">
        <v>1141</v>
      </c>
      <c r="AB21" s="15" t="s">
        <v>144</v>
      </c>
      <c r="AC21" s="15" t="s">
        <v>185</v>
      </c>
      <c r="AD21" s="37">
        <v>4</v>
      </c>
      <c r="AE21" s="17" t="s">
        <v>186</v>
      </c>
      <c r="AF21" s="44">
        <v>3150740</v>
      </c>
      <c r="AG21" s="44"/>
      <c r="AH21" s="17"/>
      <c r="AI21" s="17"/>
      <c r="AJ21" s="137" t="s">
        <v>187</v>
      </c>
      <c r="AK21" s="147" t="s">
        <v>188</v>
      </c>
      <c r="AL21" s="148" t="s">
        <v>189</v>
      </c>
      <c r="AM21" s="149" t="s">
        <v>190</v>
      </c>
      <c r="AN21" s="16"/>
      <c r="AO21" s="85" t="s">
        <v>191</v>
      </c>
      <c r="AP21" s="33">
        <v>1</v>
      </c>
    </row>
    <row r="22" spans="1:356" ht="64" x14ac:dyDescent="0.2">
      <c r="A22" s="37">
        <v>15</v>
      </c>
      <c r="B22" s="15">
        <v>2023</v>
      </c>
      <c r="C22" s="15">
        <v>5</v>
      </c>
      <c r="D22" s="15">
        <v>5</v>
      </c>
      <c r="E22" s="15"/>
      <c r="F22" s="96" t="s">
        <v>105</v>
      </c>
      <c r="G22" s="96"/>
      <c r="H22" s="96"/>
      <c r="I22" s="17" t="s">
        <v>192</v>
      </c>
      <c r="J22" s="17" t="s">
        <v>193</v>
      </c>
      <c r="K22" s="33"/>
      <c r="L22" s="17"/>
      <c r="M22" s="17"/>
      <c r="N22" s="17"/>
      <c r="O22" s="17"/>
      <c r="P22" s="17"/>
      <c r="Q22" s="33">
        <v>0</v>
      </c>
      <c r="R22" s="17"/>
      <c r="S22" s="33">
        <v>1</v>
      </c>
      <c r="T22" s="17" t="s">
        <v>194</v>
      </c>
      <c r="U22" s="17"/>
      <c r="V22" s="33"/>
      <c r="W22" s="16"/>
      <c r="X22" s="16"/>
      <c r="Y22" s="17" t="s">
        <v>195</v>
      </c>
      <c r="Z22" s="18">
        <v>45241</v>
      </c>
      <c r="AA22" s="17" t="s">
        <v>196</v>
      </c>
      <c r="AB22" s="15" t="s">
        <v>144</v>
      </c>
      <c r="AC22" s="15" t="s">
        <v>185</v>
      </c>
      <c r="AD22" s="37">
        <v>5</v>
      </c>
      <c r="AE22" s="17" t="s">
        <v>197</v>
      </c>
      <c r="AF22" s="44">
        <v>2039696</v>
      </c>
      <c r="AG22" s="44"/>
      <c r="AH22" s="17"/>
      <c r="AI22" s="17"/>
      <c r="AJ22" s="138">
        <v>45222</v>
      </c>
      <c r="AK22" s="150" t="s">
        <v>198</v>
      </c>
      <c r="AL22" s="151" t="s">
        <v>199</v>
      </c>
      <c r="AM22" s="152" t="s">
        <v>200</v>
      </c>
      <c r="AN22" s="16"/>
      <c r="AO22" s="85" t="s">
        <v>201</v>
      </c>
      <c r="AP22" s="33">
        <v>1</v>
      </c>
    </row>
    <row r="23" spans="1:356" ht="32" x14ac:dyDescent="0.2">
      <c r="A23" s="37">
        <v>16</v>
      </c>
      <c r="B23" s="15">
        <v>2023</v>
      </c>
      <c r="C23" s="15">
        <v>5</v>
      </c>
      <c r="D23" s="15">
        <v>5</v>
      </c>
      <c r="E23" s="15"/>
      <c r="F23" s="96" t="s">
        <v>105</v>
      </c>
      <c r="G23" s="96"/>
      <c r="H23" s="96"/>
      <c r="I23" s="17" t="s">
        <v>202</v>
      </c>
      <c r="J23" s="17" t="s">
        <v>203</v>
      </c>
      <c r="K23" s="33"/>
      <c r="L23" s="17"/>
      <c r="M23" s="17"/>
      <c r="N23" s="17"/>
      <c r="O23" s="17"/>
      <c r="P23" s="17"/>
      <c r="Q23" s="33">
        <v>0</v>
      </c>
      <c r="R23" s="17"/>
      <c r="S23" s="33">
        <v>1</v>
      </c>
      <c r="T23" s="17" t="s">
        <v>204</v>
      </c>
      <c r="U23" s="17"/>
      <c r="V23" s="33"/>
      <c r="W23" s="16"/>
      <c r="X23" s="16"/>
      <c r="Y23" s="17" t="s">
        <v>205</v>
      </c>
      <c r="Z23" s="18">
        <v>45230</v>
      </c>
      <c r="AA23" s="94" t="s">
        <v>206</v>
      </c>
      <c r="AB23" s="15" t="s">
        <v>144</v>
      </c>
      <c r="AC23" s="15" t="s">
        <v>185</v>
      </c>
      <c r="AD23" s="37">
        <v>6</v>
      </c>
      <c r="AE23" s="17" t="s">
        <v>207</v>
      </c>
      <c r="AF23" s="44">
        <v>1298268</v>
      </c>
      <c r="AG23" s="44"/>
      <c r="AH23" s="17"/>
      <c r="AI23" s="17"/>
      <c r="AJ23" s="138">
        <v>45238</v>
      </c>
      <c r="AK23" s="150" t="s">
        <v>208</v>
      </c>
      <c r="AL23" s="153" t="s">
        <v>209</v>
      </c>
      <c r="AM23" s="152" t="s">
        <v>210</v>
      </c>
      <c r="AN23" s="16"/>
      <c r="AO23" s="85" t="s">
        <v>211</v>
      </c>
      <c r="AP23" s="33">
        <v>1</v>
      </c>
    </row>
    <row r="24" spans="1:356" ht="112" x14ac:dyDescent="0.2">
      <c r="A24" s="37">
        <v>17</v>
      </c>
      <c r="B24" s="15">
        <v>2023</v>
      </c>
      <c r="C24" s="15">
        <v>3</v>
      </c>
      <c r="D24" s="15">
        <v>3</v>
      </c>
      <c r="E24" s="15"/>
      <c r="F24" s="96" t="s">
        <v>9</v>
      </c>
      <c r="G24" s="96"/>
      <c r="H24" s="96">
        <v>0</v>
      </c>
      <c r="I24" s="17" t="s">
        <v>212</v>
      </c>
      <c r="J24" s="17" t="s">
        <v>213</v>
      </c>
      <c r="K24" s="33"/>
      <c r="L24" s="17"/>
      <c r="M24" s="17"/>
      <c r="N24" s="17"/>
      <c r="O24" s="17"/>
      <c r="P24" s="17"/>
      <c r="Q24" s="33">
        <v>0</v>
      </c>
      <c r="R24" s="17"/>
      <c r="S24" s="33">
        <v>1</v>
      </c>
      <c r="T24" s="17" t="s">
        <v>214</v>
      </c>
      <c r="U24" s="17"/>
      <c r="V24" s="33"/>
      <c r="W24" s="16"/>
      <c r="X24" s="16"/>
      <c r="Y24" s="17" t="s">
        <v>215</v>
      </c>
      <c r="Z24" s="18">
        <v>45258</v>
      </c>
      <c r="AA24" s="17" t="s">
        <v>1142</v>
      </c>
      <c r="AB24" s="15" t="s">
        <v>144</v>
      </c>
      <c r="AC24" s="15" t="s">
        <v>216</v>
      </c>
      <c r="AD24" s="37">
        <v>7</v>
      </c>
      <c r="AE24" s="17" t="s">
        <v>217</v>
      </c>
      <c r="AF24" s="44">
        <v>1929406</v>
      </c>
      <c r="AG24" s="44"/>
      <c r="AH24" s="17"/>
      <c r="AI24" s="17"/>
      <c r="AJ24" s="139">
        <v>44969</v>
      </c>
      <c r="AK24" s="154" t="s">
        <v>218</v>
      </c>
      <c r="AL24" s="151" t="s">
        <v>219</v>
      </c>
      <c r="AM24" s="155" t="s">
        <v>220</v>
      </c>
      <c r="AN24" s="16"/>
      <c r="AO24" s="85" t="s">
        <v>221</v>
      </c>
      <c r="AP24" s="33">
        <v>1</v>
      </c>
    </row>
    <row r="25" spans="1:356" ht="19" x14ac:dyDescent="0.2">
      <c r="C25" s="20"/>
      <c r="D25" s="20"/>
      <c r="E25" s="259">
        <f>SUM(E8:E24)</f>
        <v>3</v>
      </c>
      <c r="F25" s="57"/>
      <c r="G25" s="57"/>
      <c r="H25" s="408">
        <f>SUM(H8:H24)</f>
        <v>3</v>
      </c>
      <c r="I25" s="56"/>
      <c r="J25" s="56"/>
      <c r="K25" s="57"/>
      <c r="L25" s="56"/>
      <c r="M25" s="56"/>
      <c r="N25" s="56"/>
      <c r="O25" s="56"/>
      <c r="P25" s="56"/>
      <c r="Q25" s="313">
        <f>SUM(Q8:Q24)</f>
        <v>9</v>
      </c>
      <c r="R25" s="313"/>
      <c r="S25" s="313">
        <f t="shared" ref="S25" si="0">SUM(S8:S24)</f>
        <v>13</v>
      </c>
      <c r="T25" s="56"/>
      <c r="U25" s="56"/>
      <c r="V25" s="57"/>
      <c r="Y25" s="56"/>
      <c r="Z25" s="58"/>
      <c r="AA25" s="56"/>
      <c r="AD25" s="6"/>
      <c r="AE25" s="23" t="s">
        <v>829</v>
      </c>
      <c r="AF25" s="82">
        <v>1543240</v>
      </c>
      <c r="AG25" s="60" t="s">
        <v>821</v>
      </c>
      <c r="AH25" s="56"/>
      <c r="AI25" s="56"/>
    </row>
    <row r="26" spans="1:356" ht="16" x14ac:dyDescent="0.2">
      <c r="C26" s="20"/>
      <c r="D26" s="20"/>
      <c r="E26" s="20"/>
      <c r="F26" s="57"/>
      <c r="G26" s="57"/>
      <c r="H26" s="57"/>
      <c r="I26" s="56"/>
      <c r="J26" s="56"/>
      <c r="K26" s="57"/>
      <c r="L26" s="56"/>
      <c r="M26" s="56"/>
      <c r="N26" s="56"/>
      <c r="O26" s="56"/>
      <c r="P26" s="56"/>
      <c r="Q26" s="56"/>
      <c r="R26" s="56"/>
      <c r="S26" s="56"/>
      <c r="T26" s="56"/>
      <c r="U26" s="56"/>
      <c r="V26" s="57"/>
      <c r="Y26" s="56"/>
      <c r="Z26" s="58"/>
      <c r="AA26" s="56"/>
      <c r="AD26" s="6"/>
      <c r="AE26" s="64" t="s">
        <v>222</v>
      </c>
      <c r="AF26" s="65">
        <v>2507659</v>
      </c>
      <c r="AG26" s="60" t="s">
        <v>822</v>
      </c>
      <c r="AH26" s="56"/>
      <c r="AI26" s="56"/>
    </row>
    <row r="27" spans="1:356" ht="16" x14ac:dyDescent="0.2">
      <c r="C27" s="20"/>
      <c r="D27" s="20"/>
      <c r="E27" s="20"/>
      <c r="F27" s="57"/>
      <c r="G27" s="57"/>
      <c r="H27" s="57"/>
      <c r="I27" s="56"/>
      <c r="J27" s="56"/>
      <c r="K27" s="57"/>
      <c r="L27" s="56"/>
      <c r="M27" s="56"/>
      <c r="N27" s="56"/>
      <c r="O27" s="56"/>
      <c r="P27" s="56"/>
      <c r="Q27" s="56"/>
      <c r="R27" s="56"/>
      <c r="S27" s="56"/>
      <c r="T27" s="56"/>
      <c r="U27" s="56"/>
      <c r="V27" s="57"/>
      <c r="Y27" s="56"/>
      <c r="Z27" s="58"/>
      <c r="AA27" s="56"/>
      <c r="AD27" s="6"/>
      <c r="AE27" s="17" t="s">
        <v>223</v>
      </c>
      <c r="AF27" s="65">
        <v>1925452</v>
      </c>
      <c r="AG27" s="60" t="s">
        <v>823</v>
      </c>
      <c r="AH27" s="175"/>
      <c r="AI27" s="176"/>
    </row>
    <row r="28" spans="1:356" x14ac:dyDescent="0.2">
      <c r="AE28" s="59">
        <v>600000</v>
      </c>
      <c r="AF28" s="65">
        <v>600000</v>
      </c>
      <c r="AG28" s="60" t="s">
        <v>824</v>
      </c>
    </row>
    <row r="29" spans="1:356" ht="16" thickBot="1" x14ac:dyDescent="0.25"/>
    <row r="30" spans="1:356" ht="20" thickBot="1" x14ac:dyDescent="0.25">
      <c r="I30" s="93" t="s">
        <v>808</v>
      </c>
      <c r="AB30" s="259"/>
      <c r="AC30" s="261" t="s">
        <v>825</v>
      </c>
      <c r="AD30" s="262"/>
      <c r="AE30" s="263"/>
      <c r="AF30" s="264">
        <f>SUM(AF18:AF29)</f>
        <v>21306291</v>
      </c>
      <c r="AG30" s="260"/>
    </row>
    <row r="31" spans="1:356" ht="16" x14ac:dyDescent="0.2">
      <c r="I31" s="300"/>
      <c r="AF31" s="260"/>
      <c r="AG31" s="260"/>
    </row>
    <row r="32" spans="1:356" x14ac:dyDescent="0.2">
      <c r="AF32" s="260"/>
      <c r="AG32" s="260"/>
      <c r="AH32" s="178"/>
      <c r="AI32" s="178"/>
    </row>
    <row r="33" spans="17:18" x14ac:dyDescent="0.2">
      <c r="Q33" s="20" t="s">
        <v>1139</v>
      </c>
    </row>
    <row r="34" spans="17:18" x14ac:dyDescent="0.2">
      <c r="R34" s="19" t="s">
        <v>1140</v>
      </c>
    </row>
  </sheetData>
  <autoFilter ref="A4:AP28" xr:uid="{D944815A-636B-4D81-80DD-B8DD079F236B}"/>
  <mergeCells count="2">
    <mergeCell ref="C6:AE6"/>
    <mergeCell ref="AJ6:AO6"/>
  </mergeCells>
  <dataValidations count="2">
    <dataValidation type="list" allowBlank="1" showInputMessage="1" showErrorMessage="1" sqref="AM9" xr:uid="{1489C548-5B9D-4827-AC37-34AD117E9F4C}">
      <formula1>"PUBLICADO, ACEPTADO, ENVIADO A REVISIÓN, EN PROCESO"</formula1>
    </dataValidation>
    <dataValidation type="list" allowBlank="1" showInputMessage="1" showErrorMessage="1" sqref="W19:W27" xr:uid="{62513FEF-78F8-4A26-BC67-38E1188F86B3}">
      <formula1>"En preparación, Enviada, Aceptada, En prensa, Publicada"</formula1>
    </dataValidation>
  </dataValidations>
  <hyperlinks>
    <hyperlink ref="AO8" r:id="rId1" xr:uid="{E2BCA1ED-9493-4E20-9866-37937B901498}"/>
    <hyperlink ref="AO9" r:id="rId2" xr:uid="{A916458C-4B4B-442F-A91D-15C2D0B56BAD}"/>
    <hyperlink ref="AO10" r:id="rId3" xr:uid="{4CC9138F-6678-460A-BD69-07197BE54495}"/>
    <hyperlink ref="AO11" r:id="rId4" xr:uid="{72363FBE-CE9D-4C7B-A14C-F42C20385D6A}"/>
    <hyperlink ref="AO18" r:id="rId5" xr:uid="{82C3F74E-2263-4C31-AA87-18033990D63B}"/>
    <hyperlink ref="AO12" r:id="rId6" xr:uid="{303BA247-64FD-465A-839F-F90CD86EC363}"/>
    <hyperlink ref="AO13" r:id="rId7" xr:uid="{129380F7-C38C-42C3-A2F9-475F10790B4F}"/>
    <hyperlink ref="AO14" r:id="rId8" xr:uid="{1A0D6170-6836-4A71-9B3B-8D7DA32E944A}"/>
    <hyperlink ref="AO20" r:id="rId9" xr:uid="{894E2CF8-EE3D-4A88-9AE4-A73E7531827C}"/>
    <hyperlink ref="AO19" r:id="rId10" xr:uid="{131252CD-EBF0-4D75-BEC8-8E53767BF7D3}"/>
    <hyperlink ref="AO24" r:id="rId11" xr:uid="{25595471-C2A8-45C9-820B-4FB9FD08B491}"/>
    <hyperlink ref="AO15" r:id="rId12" xr:uid="{5CEF8C82-7665-45AE-9CA2-D0B89C51EE20}"/>
    <hyperlink ref="AO16" r:id="rId13" xr:uid="{09361BCB-618C-420A-9039-D19D381B9D91}"/>
    <hyperlink ref="AO22" r:id="rId14" xr:uid="{8E46B9E6-EC16-4167-A98D-5B933C16A68F}"/>
    <hyperlink ref="AO21" r:id="rId15" xr:uid="{9706145F-71C3-4E00-B73A-C1D50C7D8F89}"/>
    <hyperlink ref="AO17" r:id="rId16" xr:uid="{59753EC8-8533-4AED-AC26-2BCD208EE249}"/>
    <hyperlink ref="AO23" r:id="rId17" xr:uid="{B45EB112-14A5-484B-BC50-C6379FD49067}"/>
    <hyperlink ref="AL11" r:id="rId18" xr:uid="{C607FAB1-5105-4F2E-8856-17746860102B}"/>
    <hyperlink ref="AL14" r:id="rId19" xr:uid="{4EAB2E12-6416-4F4A-901E-9B2AA02647D4}"/>
    <hyperlink ref="AL13" r:id="rId20" xr:uid="{F0EA59C3-21D0-410F-AF38-1CA142388FA6}"/>
    <hyperlink ref="AL12" r:id="rId21" xr:uid="{493BF9FE-89A8-468F-AFD8-15D3DCC63D24}"/>
    <hyperlink ref="AL15" r:id="rId22" xr:uid="{04770138-B6F6-450A-9A70-A7CC48A01B4E}"/>
    <hyperlink ref="AL17" r:id="rId23" xr:uid="{1744F705-A1C1-4759-B47F-D8B113BBD1A2}"/>
    <hyperlink ref="AL18" r:id="rId24" xr:uid="{7CCEDC37-3CD0-4B6B-AF51-6498BAE7BE12}"/>
    <hyperlink ref="AL19" r:id="rId25" xr:uid="{E78110A2-CC83-47EC-9421-25D82FFBC811}"/>
    <hyperlink ref="AL20" r:id="rId26" xr:uid="{3611A54B-5EDC-46A0-AD09-E86E0C81725D}"/>
    <hyperlink ref="AL21" r:id="rId27" xr:uid="{98AE2797-462A-44B0-8F92-25D4F375A8A2}"/>
    <hyperlink ref="AL22" r:id="rId28" xr:uid="{506C3999-C79F-4D10-AEE9-46B1E6F31F5B}"/>
    <hyperlink ref="AL23" r:id="rId29" xr:uid="{8EDB9EE6-A7FC-4943-A996-50E77F8D34B8}"/>
    <hyperlink ref="AL24" r:id="rId30" xr:uid="{117129CE-3DA2-4BE4-ABD0-B21B3C209430}"/>
  </hyperlinks>
  <pageMargins left="0.7" right="0.7" top="0.75" bottom="0.75" header="0.3" footer="0.3"/>
  <pageSetup orientation="portrait" r:id="rId3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N61"/>
  <sheetViews>
    <sheetView topLeftCell="A19" zoomScale="70" zoomScaleNormal="70" workbookViewId="0">
      <selection activeCell="F38" sqref="F38"/>
    </sheetView>
  </sheetViews>
  <sheetFormatPr baseColWidth="10" defaultColWidth="11.5" defaultRowHeight="15" x14ac:dyDescent="0.2"/>
  <cols>
    <col min="1" max="1" width="5.83203125" style="6" customWidth="1"/>
    <col min="2" max="2" width="13.1640625" style="6" customWidth="1"/>
    <col min="3" max="3" width="8.1640625" style="6" customWidth="1"/>
    <col min="4" max="4" width="10.83203125" style="6" customWidth="1"/>
    <col min="5" max="5" width="10.1640625" style="20" customWidth="1"/>
    <col min="6" max="6" width="55.83203125" style="19" customWidth="1"/>
    <col min="7" max="8" width="51.1640625" style="19" customWidth="1"/>
    <col min="9" max="9" width="14.83203125" style="20" customWidth="1"/>
    <col min="10" max="10" width="29" style="19" customWidth="1"/>
    <col min="11" max="13" width="30.5" style="19" customWidth="1"/>
    <col min="14" max="18" width="29.5" style="19" customWidth="1"/>
    <col min="19" max="19" width="35.33203125" style="19" customWidth="1"/>
    <col min="20" max="20" width="10.83203125" style="19" customWidth="1"/>
    <col min="21" max="21" width="15.1640625" style="19" customWidth="1"/>
    <col min="22" max="25" width="21.5" style="19" customWidth="1"/>
    <col min="26" max="28" width="14.83203125" style="20" customWidth="1"/>
    <col min="29" max="29" width="14.1640625" style="19" customWidth="1"/>
    <col min="30" max="31" width="16" style="21" customWidth="1"/>
    <col min="32" max="32" width="17.1640625" customWidth="1"/>
    <col min="33" max="33" width="19.6640625" customWidth="1"/>
    <col min="34" max="34" width="15.1640625" customWidth="1"/>
    <col min="36" max="36" width="19.1640625" customWidth="1"/>
    <col min="38" max="38" width="13.5" customWidth="1"/>
    <col min="39" max="39" width="53.6640625" customWidth="1"/>
    <col min="40" max="40" width="15.5" customWidth="1"/>
  </cols>
  <sheetData>
    <row r="2" spans="1:40" ht="24" x14ac:dyDescent="0.2">
      <c r="F2" s="67" t="s">
        <v>741</v>
      </c>
      <c r="AH2" s="9" t="s">
        <v>23</v>
      </c>
    </row>
    <row r="3" spans="1:40" x14ac:dyDescent="0.2">
      <c r="AH3" s="9"/>
    </row>
    <row r="4" spans="1:40" ht="16" thickBot="1" x14ac:dyDescent="0.25">
      <c r="AH4" s="9"/>
    </row>
    <row r="5" spans="1:40" ht="27" thickBot="1" x14ac:dyDescent="0.25">
      <c r="F5" s="30">
        <v>2023</v>
      </c>
      <c r="AH5" s="19" t="s">
        <v>24</v>
      </c>
    </row>
    <row r="6" spans="1:40" ht="17" thickBot="1" x14ac:dyDescent="0.25">
      <c r="D6" s="448" t="s">
        <v>25</v>
      </c>
      <c r="E6" s="448"/>
      <c r="F6" s="448"/>
      <c r="G6" s="448"/>
      <c r="H6" s="448"/>
      <c r="I6" s="448"/>
      <c r="J6" s="448"/>
      <c r="K6" s="448"/>
      <c r="L6" s="448"/>
      <c r="M6" s="448"/>
      <c r="N6" s="448"/>
      <c r="O6" s="448"/>
      <c r="P6" s="448"/>
      <c r="Q6" s="448"/>
      <c r="R6" s="448"/>
      <c r="S6" s="448"/>
      <c r="T6" s="448"/>
      <c r="U6" s="448"/>
      <c r="V6" s="448"/>
      <c r="W6" s="448"/>
      <c r="X6" s="448"/>
      <c r="Y6" s="448"/>
      <c r="Z6" s="448"/>
      <c r="AA6" s="448"/>
      <c r="AB6" s="448"/>
      <c r="AC6" s="449"/>
      <c r="AD6" s="26"/>
      <c r="AE6" s="26"/>
      <c r="AF6" s="52" t="s">
        <v>26</v>
      </c>
      <c r="AG6" s="53" t="s">
        <v>27</v>
      </c>
      <c r="AH6" s="450" t="s">
        <v>28</v>
      </c>
      <c r="AI6" s="450"/>
      <c r="AJ6" s="450"/>
      <c r="AK6" s="450"/>
      <c r="AL6" s="450"/>
      <c r="AM6" s="451"/>
    </row>
    <row r="7" spans="1:40" ht="48" x14ac:dyDescent="0.2">
      <c r="A7" s="79" t="s">
        <v>29</v>
      </c>
      <c r="B7" s="319"/>
      <c r="C7" s="72" t="s">
        <v>7</v>
      </c>
      <c r="D7" s="72" t="s">
        <v>30</v>
      </c>
      <c r="E7" s="27" t="s">
        <v>31</v>
      </c>
      <c r="F7" s="27" t="s">
        <v>32</v>
      </c>
      <c r="G7" s="27" t="s">
        <v>33</v>
      </c>
      <c r="H7" s="27"/>
      <c r="I7" s="27" t="s">
        <v>34</v>
      </c>
      <c r="J7" s="27" t="s">
        <v>35</v>
      </c>
      <c r="K7" s="27" t="s">
        <v>36</v>
      </c>
      <c r="L7" s="27" t="s">
        <v>37</v>
      </c>
      <c r="M7" s="27" t="s">
        <v>38</v>
      </c>
      <c r="N7" s="27" t="s">
        <v>39</v>
      </c>
      <c r="O7" s="27" t="s">
        <v>552</v>
      </c>
      <c r="P7" s="27" t="s">
        <v>550</v>
      </c>
      <c r="Q7" s="27" t="s">
        <v>553</v>
      </c>
      <c r="R7" s="27" t="s">
        <v>551</v>
      </c>
      <c r="S7" s="27" t="s">
        <v>42</v>
      </c>
      <c r="T7" s="27" t="s">
        <v>483</v>
      </c>
      <c r="U7" s="27" t="s">
        <v>44</v>
      </c>
      <c r="V7" s="27" t="s">
        <v>45</v>
      </c>
      <c r="W7" s="27" t="s">
        <v>46</v>
      </c>
      <c r="X7" s="27" t="s">
        <v>47</v>
      </c>
      <c r="Y7" s="27" t="s">
        <v>48</v>
      </c>
      <c r="Z7" s="27" t="s">
        <v>49</v>
      </c>
      <c r="AA7" s="27" t="s">
        <v>50</v>
      </c>
      <c r="AB7" s="27" t="s">
        <v>51</v>
      </c>
      <c r="AC7" s="27" t="s">
        <v>52</v>
      </c>
      <c r="AD7" s="51" t="s">
        <v>53</v>
      </c>
      <c r="AE7" s="80" t="s">
        <v>54</v>
      </c>
      <c r="AF7" s="81"/>
      <c r="AG7" s="81"/>
      <c r="AH7" s="50" t="s">
        <v>55</v>
      </c>
      <c r="AI7" s="14" t="s">
        <v>56</v>
      </c>
      <c r="AJ7" s="14" t="s">
        <v>57</v>
      </c>
      <c r="AK7" s="14" t="s">
        <v>58</v>
      </c>
      <c r="AL7" s="14" t="s">
        <v>59</v>
      </c>
      <c r="AM7" s="14" t="s">
        <v>60</v>
      </c>
      <c r="AN7" s="14" t="s">
        <v>61</v>
      </c>
    </row>
    <row r="8" spans="1:40" ht="32" x14ac:dyDescent="0.2">
      <c r="A8" s="37">
        <v>1</v>
      </c>
      <c r="B8" s="37"/>
      <c r="C8" s="37">
        <v>1</v>
      </c>
      <c r="D8" s="15">
        <v>1</v>
      </c>
      <c r="E8" s="33"/>
      <c r="F8" s="33" t="s">
        <v>484</v>
      </c>
      <c r="G8" s="33" t="s">
        <v>485</v>
      </c>
      <c r="H8" s="33"/>
      <c r="I8" s="33"/>
      <c r="J8" s="33"/>
      <c r="K8" s="33"/>
      <c r="L8" s="33"/>
      <c r="M8" s="33"/>
      <c r="N8" s="33"/>
      <c r="O8" s="33"/>
      <c r="P8" s="33"/>
      <c r="Q8" s="33"/>
      <c r="R8" s="33"/>
      <c r="S8" s="33"/>
      <c r="T8" s="33"/>
      <c r="U8" s="33"/>
      <c r="V8" s="33"/>
      <c r="W8" s="33"/>
      <c r="X8" s="33"/>
      <c r="Y8" s="33" t="s">
        <v>454</v>
      </c>
      <c r="Z8" s="33" t="s">
        <v>67</v>
      </c>
      <c r="AA8" s="33" t="s">
        <v>67</v>
      </c>
      <c r="AB8" s="33"/>
      <c r="AC8" s="33"/>
      <c r="AD8" s="78"/>
      <c r="AE8" s="78"/>
      <c r="AF8" s="1"/>
      <c r="AG8" s="1"/>
      <c r="AH8" s="33">
        <v>2023</v>
      </c>
      <c r="AI8" s="33" t="s">
        <v>486</v>
      </c>
      <c r="AJ8" s="33"/>
      <c r="AK8" s="33"/>
      <c r="AL8" s="33"/>
      <c r="AM8" s="85"/>
      <c r="AN8" s="33"/>
    </row>
    <row r="9" spans="1:40" ht="39.5" customHeight="1" x14ac:dyDescent="0.2">
      <c r="A9" s="37">
        <v>2</v>
      </c>
      <c r="B9" s="37"/>
      <c r="C9" s="37"/>
      <c r="D9" s="33"/>
      <c r="E9" s="33"/>
      <c r="F9" s="33"/>
      <c r="G9" s="33"/>
      <c r="H9" s="33"/>
      <c r="I9" s="33"/>
      <c r="J9" s="33"/>
      <c r="K9" s="33"/>
      <c r="L9" s="33"/>
      <c r="M9" s="33"/>
      <c r="N9" s="33"/>
      <c r="O9" s="33"/>
      <c r="P9" s="33"/>
      <c r="Q9" s="33"/>
      <c r="R9" s="33"/>
      <c r="S9" s="33"/>
      <c r="T9" s="33"/>
      <c r="U9" s="33">
        <v>3</v>
      </c>
      <c r="V9" s="33" t="s">
        <v>532</v>
      </c>
      <c r="W9" s="33"/>
      <c r="X9" s="33"/>
      <c r="Y9" s="33"/>
      <c r="Z9" s="33"/>
      <c r="AA9" s="33"/>
      <c r="AB9" s="33"/>
      <c r="AC9" s="33"/>
      <c r="AD9" s="78"/>
      <c r="AE9" s="78"/>
      <c r="AF9" s="1"/>
      <c r="AG9" s="1"/>
      <c r="AH9" s="88"/>
      <c r="AI9" s="33"/>
      <c r="AJ9" s="33"/>
      <c r="AK9" s="33"/>
      <c r="AL9" s="33"/>
      <c r="AM9" s="85"/>
      <c r="AN9" s="33"/>
    </row>
    <row r="10" spans="1:40" x14ac:dyDescent="0.2">
      <c r="A10" s="37">
        <v>3</v>
      </c>
      <c r="B10" s="37"/>
      <c r="C10" s="37"/>
      <c r="D10" s="33"/>
      <c r="E10" s="33"/>
      <c r="F10" s="33"/>
      <c r="G10" s="83"/>
      <c r="H10" s="83"/>
      <c r="I10" s="33"/>
      <c r="J10" s="33"/>
      <c r="K10" s="33"/>
      <c r="L10" s="33"/>
      <c r="M10" s="33"/>
      <c r="N10" s="33"/>
      <c r="O10" s="33"/>
      <c r="P10" s="33"/>
      <c r="Q10" s="33"/>
      <c r="R10" s="33"/>
      <c r="S10" s="33"/>
      <c r="T10" s="33"/>
      <c r="U10" s="33"/>
      <c r="V10" s="33"/>
      <c r="W10" s="33"/>
      <c r="X10" s="33"/>
      <c r="Y10" s="33"/>
      <c r="Z10" s="33"/>
      <c r="AA10" s="33"/>
      <c r="AB10" s="33"/>
      <c r="AC10" s="33"/>
      <c r="AD10" s="78"/>
      <c r="AE10" s="78"/>
      <c r="AF10" s="1"/>
      <c r="AG10" s="1"/>
      <c r="AH10" s="88"/>
      <c r="AI10" s="33"/>
      <c r="AJ10" s="33"/>
      <c r="AK10" s="33"/>
      <c r="AL10" s="33"/>
      <c r="AM10" s="85"/>
      <c r="AN10" s="33"/>
    </row>
    <row r="11" spans="1:40" x14ac:dyDescent="0.2">
      <c r="A11" s="37">
        <v>4</v>
      </c>
      <c r="B11" s="37"/>
      <c r="C11" s="37"/>
      <c r="D11" s="33"/>
      <c r="E11" s="33"/>
      <c r="F11" s="84"/>
      <c r="G11" s="33"/>
      <c r="H11" s="33"/>
      <c r="I11" s="33"/>
      <c r="J11" s="33"/>
      <c r="K11" s="33"/>
      <c r="L11" s="33"/>
      <c r="M11" s="33"/>
      <c r="N11" s="33"/>
      <c r="O11" s="33"/>
      <c r="P11" s="33"/>
      <c r="Q11" s="33"/>
      <c r="R11" s="33"/>
      <c r="S11" s="33"/>
      <c r="T11" s="33"/>
      <c r="U11" s="33"/>
      <c r="V11" s="33"/>
      <c r="W11" s="33"/>
      <c r="X11" s="33"/>
      <c r="Y11" s="33"/>
      <c r="Z11" s="33"/>
      <c r="AA11" s="33"/>
      <c r="AB11" s="33"/>
      <c r="AC11" s="33"/>
      <c r="AD11" s="78"/>
      <c r="AE11" s="78"/>
      <c r="AF11" s="1"/>
      <c r="AG11" s="1"/>
      <c r="AH11" s="33"/>
      <c r="AI11" s="33"/>
      <c r="AJ11" s="87"/>
      <c r="AK11" s="33"/>
      <c r="AL11" s="33"/>
      <c r="AM11" s="85"/>
      <c r="AN11" s="33"/>
    </row>
    <row r="12" spans="1:40" x14ac:dyDescent="0.2">
      <c r="A12" s="37">
        <v>5</v>
      </c>
      <c r="B12" s="37"/>
      <c r="C12" s="37"/>
      <c r="D12" s="33"/>
      <c r="E12" s="33"/>
      <c r="F12" s="33"/>
      <c r="G12" s="83"/>
      <c r="H12" s="83"/>
      <c r="I12" s="33"/>
      <c r="J12" s="33"/>
      <c r="K12" s="33"/>
      <c r="L12" s="33"/>
      <c r="M12" s="33"/>
      <c r="N12" s="33"/>
      <c r="O12" s="33"/>
      <c r="P12" s="33"/>
      <c r="Q12" s="33"/>
      <c r="R12" s="33"/>
      <c r="S12" s="33"/>
      <c r="T12" s="33"/>
      <c r="U12" s="33"/>
      <c r="V12" s="33"/>
      <c r="W12" s="33"/>
      <c r="X12" s="33"/>
      <c r="Y12" s="33"/>
      <c r="Z12" s="33"/>
      <c r="AA12" s="33"/>
      <c r="AB12" s="33"/>
      <c r="AC12" s="33"/>
      <c r="AD12" s="78"/>
      <c r="AE12" s="78"/>
      <c r="AF12" s="1"/>
      <c r="AG12" s="1"/>
      <c r="AH12" s="88"/>
      <c r="AI12" s="33"/>
      <c r="AJ12" s="87"/>
      <c r="AK12" s="33"/>
      <c r="AL12" s="33"/>
      <c r="AM12" s="85"/>
      <c r="AN12" s="33"/>
    </row>
    <row r="13" spans="1:40" x14ac:dyDescent="0.2">
      <c r="A13" s="37">
        <v>6</v>
      </c>
      <c r="B13" s="37"/>
      <c r="C13" s="37"/>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78"/>
      <c r="AE13" s="78"/>
      <c r="AF13" s="1"/>
      <c r="AG13" s="1"/>
      <c r="AH13" s="88"/>
      <c r="AI13" s="33"/>
      <c r="AJ13" s="87"/>
      <c r="AK13" s="33"/>
      <c r="AL13" s="33"/>
      <c r="AM13" s="85"/>
      <c r="AN13" s="33"/>
    </row>
    <row r="14" spans="1:40" x14ac:dyDescent="0.2">
      <c r="A14" s="37">
        <v>7</v>
      </c>
      <c r="B14" s="37"/>
      <c r="C14" s="37"/>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78"/>
      <c r="AE14" s="78"/>
      <c r="AF14" s="1"/>
      <c r="AG14" s="1"/>
      <c r="AH14" s="88"/>
      <c r="AI14" s="33"/>
      <c r="AJ14" s="87"/>
      <c r="AK14" s="33"/>
      <c r="AL14" s="33"/>
      <c r="AM14" s="85"/>
      <c r="AN14" s="33"/>
    </row>
    <row r="15" spans="1:40" x14ac:dyDescent="0.2">
      <c r="A15" s="37">
        <v>8</v>
      </c>
      <c r="B15" s="37"/>
      <c r="C15" s="37"/>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78"/>
      <c r="AE15" s="78"/>
      <c r="AF15" s="1"/>
      <c r="AG15" s="1"/>
      <c r="AH15" s="88"/>
      <c r="AI15" s="33"/>
      <c r="AJ15" s="87"/>
      <c r="AK15" s="33"/>
      <c r="AL15" s="33"/>
      <c r="AM15" s="85"/>
      <c r="AN15" s="33"/>
    </row>
    <row r="16" spans="1:40" x14ac:dyDescent="0.2">
      <c r="A16" s="37">
        <v>9</v>
      </c>
      <c r="B16" s="37"/>
      <c r="C16" s="37"/>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78"/>
      <c r="AE16" s="78"/>
      <c r="AF16" s="1"/>
      <c r="AG16" s="1"/>
      <c r="AH16" s="88"/>
      <c r="AI16" s="33"/>
      <c r="AJ16" s="33"/>
      <c r="AK16" s="33"/>
      <c r="AL16" s="33"/>
      <c r="AM16" s="85"/>
      <c r="AN16" s="33"/>
    </row>
    <row r="17" spans="1:40" x14ac:dyDescent="0.2">
      <c r="A17" s="37">
        <v>10</v>
      </c>
      <c r="B17" s="37"/>
      <c r="C17" s="37"/>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78"/>
      <c r="AE17" s="78"/>
      <c r="AF17" s="1"/>
      <c r="AG17" s="1"/>
      <c r="AH17" s="88"/>
      <c r="AI17" s="33"/>
      <c r="AJ17" s="87"/>
      <c r="AK17" s="33"/>
      <c r="AL17" s="33"/>
      <c r="AM17" s="85"/>
      <c r="AN17" s="33"/>
    </row>
    <row r="18" spans="1:40" x14ac:dyDescent="0.2">
      <c r="D18" s="20"/>
      <c r="E18" s="57"/>
      <c r="F18" s="56"/>
      <c r="G18" s="56"/>
      <c r="H18" s="56"/>
      <c r="I18" s="57"/>
      <c r="J18" s="56"/>
      <c r="K18" s="56"/>
      <c r="L18" s="56"/>
      <c r="M18" s="56"/>
      <c r="N18" s="56"/>
      <c r="O18" s="56"/>
      <c r="P18" s="56"/>
      <c r="Q18" s="56"/>
      <c r="R18" s="56"/>
      <c r="S18" s="56"/>
      <c r="W18" s="56"/>
      <c r="X18" s="58"/>
      <c r="Y18" s="56"/>
      <c r="AB18" s="6"/>
      <c r="AC18" s="23"/>
      <c r="AD18" s="82"/>
      <c r="AE18" s="60"/>
      <c r="AF18" s="61"/>
      <c r="AG18" s="61"/>
    </row>
    <row r="19" spans="1:40" x14ac:dyDescent="0.2">
      <c r="D19" s="20"/>
      <c r="E19" s="57"/>
      <c r="F19" s="56"/>
      <c r="G19" s="56"/>
      <c r="H19" s="56"/>
      <c r="I19" s="57"/>
      <c r="J19" s="56"/>
      <c r="K19" s="56"/>
      <c r="L19" s="56"/>
      <c r="M19" s="56"/>
      <c r="N19" s="56"/>
      <c r="O19" s="56"/>
      <c r="P19" s="56"/>
      <c r="Q19" s="56"/>
      <c r="R19" s="56"/>
      <c r="S19" s="56"/>
      <c r="W19" s="56"/>
      <c r="X19" s="58"/>
      <c r="Y19" s="56"/>
      <c r="AB19" s="6"/>
      <c r="AC19" s="59"/>
      <c r="AD19" s="65"/>
      <c r="AE19" s="60"/>
      <c r="AF19" s="61"/>
      <c r="AG19" s="61"/>
    </row>
    <row r="20" spans="1:40" ht="21" x14ac:dyDescent="0.2">
      <c r="I20" s="6"/>
      <c r="J20" s="25"/>
      <c r="K20" s="25"/>
      <c r="L20" s="25"/>
      <c r="M20" s="25"/>
      <c r="N20" s="25"/>
      <c r="O20" s="25"/>
      <c r="P20" s="25"/>
      <c r="Q20" s="25"/>
      <c r="R20" s="25"/>
      <c r="S20" s="25"/>
      <c r="T20" s="25"/>
      <c r="U20" s="25"/>
      <c r="V20" s="25"/>
      <c r="W20" s="25"/>
      <c r="X20" s="25"/>
      <c r="Y20" s="24"/>
      <c r="Z20" s="40"/>
      <c r="AA20" s="40"/>
      <c r="AB20" s="40"/>
      <c r="AC20" s="66" t="s">
        <v>224</v>
      </c>
      <c r="AD20" s="55">
        <f>SUM(AD18:AD18)</f>
        <v>0</v>
      </c>
      <c r="AE20" s="62"/>
    </row>
    <row r="21" spans="1:40" ht="24" x14ac:dyDescent="0.2">
      <c r="F21" s="67" t="s">
        <v>741</v>
      </c>
    </row>
    <row r="23" spans="1:40" ht="16" thickBot="1" x14ac:dyDescent="0.25"/>
    <row r="24" spans="1:40" ht="27" thickBot="1" x14ac:dyDescent="0.25">
      <c r="F24" s="30">
        <v>2024</v>
      </c>
      <c r="AH24" s="19" t="s">
        <v>24</v>
      </c>
    </row>
    <row r="25" spans="1:40" ht="17" thickBot="1" x14ac:dyDescent="0.25">
      <c r="D25" s="448" t="s">
        <v>25</v>
      </c>
      <c r="E25" s="448"/>
      <c r="F25" s="448"/>
      <c r="G25" s="448"/>
      <c r="H25" s="448"/>
      <c r="I25" s="448"/>
      <c r="J25" s="448"/>
      <c r="K25" s="448"/>
      <c r="L25" s="448"/>
      <c r="M25" s="448"/>
      <c r="N25" s="448"/>
      <c r="O25" s="448"/>
      <c r="P25" s="448"/>
      <c r="Q25" s="448"/>
      <c r="R25" s="448"/>
      <c r="S25" s="448"/>
      <c r="T25" s="448"/>
      <c r="U25" s="448"/>
      <c r="V25" s="448"/>
      <c r="W25" s="448"/>
      <c r="X25" s="448"/>
      <c r="Y25" s="448"/>
      <c r="Z25" s="448"/>
      <c r="AA25" s="448"/>
      <c r="AB25" s="448"/>
      <c r="AC25" s="449"/>
      <c r="AD25" s="26"/>
      <c r="AE25" s="26"/>
      <c r="AF25" s="11" t="s">
        <v>26</v>
      </c>
      <c r="AG25" s="11" t="s">
        <v>27</v>
      </c>
      <c r="AH25" s="452" t="s">
        <v>28</v>
      </c>
      <c r="AI25" s="452"/>
      <c r="AJ25" s="452"/>
      <c r="AK25" s="452"/>
      <c r="AL25" s="452"/>
      <c r="AM25" s="452"/>
    </row>
    <row r="26" spans="1:40" ht="48" x14ac:dyDescent="0.2">
      <c r="A26" s="71" t="s">
        <v>29</v>
      </c>
      <c r="B26" s="71"/>
      <c r="C26" s="72" t="s">
        <v>7</v>
      </c>
      <c r="D26" s="72" t="s">
        <v>30</v>
      </c>
      <c r="E26" s="72" t="s">
        <v>31</v>
      </c>
      <c r="F26" s="72" t="s">
        <v>32</v>
      </c>
      <c r="G26" s="72" t="s">
        <v>33</v>
      </c>
      <c r="H26" s="72"/>
      <c r="I26" s="72" t="s">
        <v>34</v>
      </c>
      <c r="J26" s="72" t="s">
        <v>35</v>
      </c>
      <c r="K26" s="72" t="s">
        <v>36</v>
      </c>
      <c r="L26" s="72" t="s">
        <v>37</v>
      </c>
      <c r="M26" s="72" t="s">
        <v>38</v>
      </c>
      <c r="N26" s="72" t="s">
        <v>39</v>
      </c>
      <c r="O26" s="27" t="s">
        <v>552</v>
      </c>
      <c r="P26" s="27" t="s">
        <v>550</v>
      </c>
      <c r="Q26" s="27" t="s">
        <v>553</v>
      </c>
      <c r="R26" s="27" t="s">
        <v>551</v>
      </c>
      <c r="S26" s="72" t="s">
        <v>42</v>
      </c>
      <c r="T26" s="72" t="s">
        <v>483</v>
      </c>
      <c r="U26" s="72" t="s">
        <v>44</v>
      </c>
      <c r="V26" s="72" t="s">
        <v>45</v>
      </c>
      <c r="W26" s="72" t="s">
        <v>46</v>
      </c>
      <c r="X26" s="72" t="s">
        <v>47</v>
      </c>
      <c r="Y26" s="72" t="s">
        <v>48</v>
      </c>
      <c r="Z26" s="72" t="s">
        <v>49</v>
      </c>
      <c r="AA26" s="72" t="s">
        <v>50</v>
      </c>
      <c r="AB26" s="72" t="s">
        <v>51</v>
      </c>
      <c r="AC26" s="72" t="s">
        <v>52</v>
      </c>
      <c r="AD26" s="54" t="s">
        <v>53</v>
      </c>
      <c r="AE26" s="54" t="s">
        <v>54</v>
      </c>
      <c r="AF26" s="73">
        <v>36000000</v>
      </c>
      <c r="AG26" s="73">
        <v>10000000</v>
      </c>
      <c r="AH26" s="68" t="s">
        <v>55</v>
      </c>
      <c r="AI26" s="68" t="s">
        <v>56</v>
      </c>
      <c r="AJ26" s="68" t="s">
        <v>57</v>
      </c>
      <c r="AK26" s="68" t="s">
        <v>58</v>
      </c>
      <c r="AL26" s="68" t="s">
        <v>59</v>
      </c>
      <c r="AM26" s="68" t="s">
        <v>60</v>
      </c>
      <c r="AN26" s="68" t="s">
        <v>61</v>
      </c>
    </row>
    <row r="27" spans="1:40" s="19" customFormat="1" ht="100" customHeight="1" x14ac:dyDescent="0.2">
      <c r="A27" s="37">
        <v>1</v>
      </c>
      <c r="B27" s="37"/>
      <c r="C27" s="15" t="s">
        <v>294</v>
      </c>
      <c r="D27" s="15">
        <v>2</v>
      </c>
      <c r="E27" s="113" t="s">
        <v>301</v>
      </c>
      <c r="F27" s="46" t="s">
        <v>302</v>
      </c>
      <c r="G27" s="17" t="s">
        <v>303</v>
      </c>
      <c r="H27" s="17"/>
      <c r="I27" s="33">
        <v>2</v>
      </c>
      <c r="J27" s="17"/>
      <c r="K27" s="17"/>
      <c r="L27" s="17"/>
      <c r="M27" s="17"/>
      <c r="N27" s="17"/>
      <c r="O27" s="33"/>
      <c r="P27" s="17"/>
      <c r="Q27" s="33"/>
      <c r="R27" s="17"/>
      <c r="S27" s="17"/>
      <c r="T27" s="33"/>
      <c r="U27" s="16" t="s">
        <v>173</v>
      </c>
      <c r="V27" s="16"/>
      <c r="W27" s="17"/>
      <c r="X27" s="18"/>
      <c r="Y27" s="16" t="s">
        <v>304</v>
      </c>
      <c r="Z27" s="15" t="s">
        <v>67</v>
      </c>
      <c r="AA27" s="15"/>
      <c r="AB27" s="15"/>
      <c r="AC27" s="17"/>
      <c r="AD27" s="44"/>
      <c r="AE27" s="44"/>
      <c r="AF27" s="75">
        <v>30137296.5625</v>
      </c>
      <c r="AG27" s="17"/>
      <c r="AH27" s="117">
        <v>2024</v>
      </c>
      <c r="AI27" s="118" t="s">
        <v>305</v>
      </c>
      <c r="AJ27" s="119" t="s">
        <v>306</v>
      </c>
      <c r="AK27" s="118" t="s">
        <v>307</v>
      </c>
      <c r="AL27" s="118" t="s">
        <v>235</v>
      </c>
      <c r="AM27" s="119" t="s">
        <v>308</v>
      </c>
      <c r="AN27" s="118">
        <v>2</v>
      </c>
    </row>
    <row r="28" spans="1:40" ht="64" x14ac:dyDescent="0.2">
      <c r="A28" s="37">
        <v>2</v>
      </c>
      <c r="B28" s="37"/>
      <c r="C28" s="96">
        <v>2</v>
      </c>
      <c r="D28" s="96">
        <v>2</v>
      </c>
      <c r="E28" s="113" t="s">
        <v>439</v>
      </c>
      <c r="F28" s="33" t="s">
        <v>440</v>
      </c>
      <c r="G28" s="96" t="s">
        <v>715</v>
      </c>
      <c r="H28" s="96"/>
      <c r="I28" s="96">
        <v>1</v>
      </c>
      <c r="J28" s="96"/>
      <c r="K28" s="96"/>
      <c r="L28" s="96"/>
      <c r="M28" s="96"/>
      <c r="N28" s="96"/>
      <c r="O28" s="221"/>
      <c r="P28" s="221"/>
      <c r="Q28" s="221"/>
      <c r="R28" s="221"/>
      <c r="S28" s="96"/>
      <c r="T28" s="96"/>
      <c r="U28" s="96" t="s">
        <v>173</v>
      </c>
      <c r="V28" s="96"/>
      <c r="W28" s="96"/>
      <c r="X28" s="222"/>
      <c r="Y28" s="96" t="s">
        <v>441</v>
      </c>
      <c r="Z28" s="96" t="s">
        <v>420</v>
      </c>
      <c r="AA28" s="96"/>
      <c r="AB28" s="96"/>
      <c r="AC28" s="96"/>
      <c r="AD28" s="223"/>
      <c r="AE28" s="223"/>
      <c r="AF28" s="224"/>
      <c r="AG28" s="225"/>
      <c r="AH28" s="226">
        <v>45544</v>
      </c>
      <c r="AI28" s="96" t="s">
        <v>442</v>
      </c>
      <c r="AJ28" s="96" t="s">
        <v>443</v>
      </c>
      <c r="AK28" s="96" t="s">
        <v>444</v>
      </c>
      <c r="AL28" s="96" t="s">
        <v>235</v>
      </c>
      <c r="AM28" s="96" t="s">
        <v>445</v>
      </c>
      <c r="AN28" s="96">
        <v>2</v>
      </c>
    </row>
    <row r="29" spans="1:40" ht="65.5" customHeight="1" x14ac:dyDescent="0.2">
      <c r="A29" s="37">
        <v>3</v>
      </c>
      <c r="B29" s="37"/>
      <c r="C29" s="37">
        <v>5</v>
      </c>
      <c r="D29" s="33">
        <v>5</v>
      </c>
      <c r="E29" s="128" t="s">
        <v>716</v>
      </c>
      <c r="F29" s="33" t="s">
        <v>482</v>
      </c>
      <c r="G29" s="33" t="s">
        <v>554</v>
      </c>
      <c r="H29" s="33"/>
      <c r="I29" s="15">
        <v>1</v>
      </c>
      <c r="J29" s="16"/>
      <c r="K29" s="16"/>
      <c r="L29" s="16"/>
      <c r="M29" s="16"/>
      <c r="N29" s="16"/>
      <c r="O29" s="16"/>
      <c r="P29" s="16"/>
      <c r="Q29" s="15">
        <v>1</v>
      </c>
      <c r="R29" s="17" t="s">
        <v>532</v>
      </c>
      <c r="S29" s="16"/>
      <c r="T29" s="16"/>
      <c r="U29" s="96" t="s">
        <v>173</v>
      </c>
      <c r="V29" s="16"/>
      <c r="W29" s="16"/>
      <c r="X29" s="18"/>
      <c r="Y29" s="17"/>
      <c r="Z29" s="33"/>
      <c r="AA29" s="33"/>
      <c r="AB29" s="33"/>
      <c r="AC29" s="16"/>
      <c r="AD29" s="63"/>
      <c r="AE29" s="43"/>
      <c r="AF29" s="74"/>
      <c r="AG29" s="75"/>
      <c r="AH29" s="16"/>
      <c r="AI29" s="16"/>
      <c r="AJ29" s="227" t="s">
        <v>717</v>
      </c>
      <c r="AK29" s="16"/>
      <c r="AL29" s="16"/>
      <c r="AM29" s="16"/>
      <c r="AN29" s="1"/>
    </row>
    <row r="30" spans="1:40" ht="96" x14ac:dyDescent="0.2">
      <c r="A30" s="37">
        <v>4</v>
      </c>
      <c r="B30" s="37"/>
      <c r="C30" s="37">
        <v>4</v>
      </c>
      <c r="D30" s="15">
        <v>4</v>
      </c>
      <c r="E30" s="128" t="s">
        <v>716</v>
      </c>
      <c r="F30" s="17" t="s">
        <v>734</v>
      </c>
      <c r="G30" s="17" t="s">
        <v>735</v>
      </c>
      <c r="H30" s="17"/>
      <c r="I30" s="33">
        <v>1</v>
      </c>
      <c r="J30" s="17"/>
      <c r="K30" s="17"/>
      <c r="L30" s="17"/>
      <c r="M30" s="17"/>
      <c r="N30" s="17"/>
      <c r="O30" s="17"/>
      <c r="P30" s="17"/>
      <c r="Q30" s="33">
        <v>2</v>
      </c>
      <c r="R30" s="22" t="s">
        <v>737</v>
      </c>
      <c r="S30" s="17"/>
      <c r="T30" s="16"/>
      <c r="U30" s="16"/>
      <c r="V30" s="16"/>
      <c r="W30" s="17"/>
      <c r="X30" s="18"/>
      <c r="Y30" s="16" t="s">
        <v>736</v>
      </c>
      <c r="Z30" s="33"/>
      <c r="AA30" s="33"/>
      <c r="AB30" s="33"/>
      <c r="AC30" s="64"/>
      <c r="AD30" s="65"/>
      <c r="AE30" s="44"/>
      <c r="AF30" s="74"/>
      <c r="AG30" s="75"/>
      <c r="AH30" s="1"/>
      <c r="AI30" s="1"/>
      <c r="AJ30" s="31" t="s">
        <v>738</v>
      </c>
      <c r="AK30" s="1"/>
      <c r="AL30" s="1"/>
      <c r="AM30" s="31"/>
      <c r="AN30" s="1"/>
    </row>
    <row r="31" spans="1:40" x14ac:dyDescent="0.2">
      <c r="D31" s="20"/>
      <c r="E31" s="57"/>
      <c r="F31" s="56"/>
      <c r="G31" s="56"/>
      <c r="H31" s="56"/>
      <c r="I31" s="57"/>
      <c r="J31" s="56"/>
      <c r="K31" s="56"/>
      <c r="L31" s="56"/>
      <c r="M31" s="56"/>
      <c r="N31" s="56"/>
      <c r="O31" s="56"/>
      <c r="P31" s="56"/>
      <c r="Q31" s="57"/>
      <c r="R31" s="249"/>
      <c r="S31" s="56"/>
      <c r="W31" s="56"/>
      <c r="X31" s="58"/>
      <c r="Z31" s="57"/>
      <c r="AA31" s="57"/>
      <c r="AB31" s="57"/>
      <c r="AC31" s="177"/>
      <c r="AD31" s="248"/>
      <c r="AE31" s="60"/>
      <c r="AF31" s="250"/>
      <c r="AG31" s="178"/>
      <c r="AJ31" s="251"/>
      <c r="AM31" s="251"/>
    </row>
    <row r="32" spans="1:40" ht="16" thickBot="1" x14ac:dyDescent="0.25">
      <c r="D32" s="20"/>
      <c r="E32" s="57"/>
      <c r="F32" s="56"/>
      <c r="G32" s="56"/>
      <c r="H32" s="56"/>
      <c r="I32" s="57"/>
      <c r="J32" s="56"/>
      <c r="K32" s="56"/>
      <c r="L32" s="56"/>
      <c r="M32" s="56"/>
      <c r="N32" s="56"/>
      <c r="O32" s="56"/>
      <c r="P32" s="56"/>
      <c r="Q32" s="57"/>
      <c r="R32" s="249"/>
      <c r="S32" s="56"/>
      <c r="W32" s="56"/>
      <c r="X32" s="58"/>
      <c r="Z32" s="57"/>
      <c r="AA32" s="57"/>
      <c r="AB32" s="57"/>
      <c r="AC32" s="177"/>
      <c r="AD32" s="248"/>
      <c r="AE32" s="60"/>
      <c r="AF32" s="250"/>
      <c r="AG32" s="178"/>
      <c r="AJ32" s="251"/>
      <c r="AM32" s="251"/>
    </row>
    <row r="33" spans="1:40" ht="27" thickBot="1" x14ac:dyDescent="0.25">
      <c r="D33" s="20"/>
      <c r="E33" s="57"/>
      <c r="F33" s="30">
        <v>2025</v>
      </c>
      <c r="G33" s="56"/>
      <c r="H33" s="56"/>
      <c r="I33" s="57"/>
      <c r="J33" s="56"/>
      <c r="K33" s="56"/>
      <c r="L33" s="56"/>
      <c r="M33" s="56"/>
      <c r="N33" s="56"/>
      <c r="O33" s="56"/>
      <c r="P33" s="56"/>
      <c r="Q33" s="57"/>
      <c r="R33" s="249"/>
      <c r="S33" s="56"/>
      <c r="W33" s="56"/>
      <c r="X33" s="58"/>
      <c r="Z33" s="57"/>
      <c r="AA33" s="57"/>
      <c r="AB33" s="57"/>
      <c r="AC33" s="177"/>
      <c r="AD33" s="248"/>
      <c r="AE33" s="60"/>
      <c r="AF33" s="250"/>
      <c r="AG33" s="178"/>
      <c r="AJ33" s="251"/>
      <c r="AM33" s="251"/>
    </row>
    <row r="34" spans="1:40" x14ac:dyDescent="0.2">
      <c r="D34" s="20"/>
      <c r="E34" s="57"/>
      <c r="F34" s="56"/>
      <c r="G34" s="56"/>
      <c r="H34" s="56"/>
      <c r="I34" s="57"/>
      <c r="J34" s="56"/>
      <c r="K34" s="56"/>
      <c r="L34" s="56"/>
      <c r="M34" s="56"/>
      <c r="N34" s="56"/>
      <c r="O34" s="56"/>
      <c r="P34" s="56"/>
      <c r="Q34" s="57"/>
      <c r="R34" s="249"/>
      <c r="S34" s="56"/>
      <c r="W34" s="56"/>
      <c r="X34" s="58"/>
      <c r="Z34" s="57"/>
      <c r="AA34" s="57"/>
      <c r="AB34" s="57"/>
      <c r="AC34" s="177"/>
      <c r="AD34" s="248"/>
      <c r="AE34" s="60"/>
      <c r="AF34" s="250"/>
      <c r="AG34" s="178"/>
      <c r="AJ34" s="251"/>
      <c r="AM34" s="251"/>
    </row>
    <row r="35" spans="1:40" ht="16" thickBot="1" x14ac:dyDescent="0.25">
      <c r="D35" s="20"/>
      <c r="E35" s="57"/>
      <c r="F35" s="56"/>
      <c r="G35" s="56"/>
      <c r="H35" s="56"/>
      <c r="I35" s="57"/>
      <c r="J35" s="56"/>
      <c r="K35" s="56"/>
      <c r="L35" s="56"/>
      <c r="M35" s="56"/>
      <c r="N35" s="56"/>
      <c r="O35" s="56"/>
      <c r="P35" s="56"/>
      <c r="Q35" s="57"/>
      <c r="R35" s="249"/>
      <c r="S35" s="56"/>
      <c r="W35" s="56"/>
      <c r="X35" s="58"/>
      <c r="Z35" s="57"/>
      <c r="AA35" s="57"/>
      <c r="AB35" s="57"/>
      <c r="AC35" s="177"/>
      <c r="AD35" s="248"/>
      <c r="AE35" s="60"/>
      <c r="AF35" s="250"/>
      <c r="AG35" s="178"/>
      <c r="AJ35" s="251"/>
      <c r="AM35" s="251"/>
    </row>
    <row r="36" spans="1:40" ht="48" x14ac:dyDescent="0.2">
      <c r="A36" s="71" t="s">
        <v>29</v>
      </c>
      <c r="B36" s="237" t="s">
        <v>779</v>
      </c>
      <c r="C36" s="72" t="s">
        <v>7</v>
      </c>
      <c r="D36" s="72" t="s">
        <v>30</v>
      </c>
      <c r="E36" s="72" t="s">
        <v>31</v>
      </c>
      <c r="F36" s="72" t="s">
        <v>32</v>
      </c>
      <c r="G36" s="72" t="s">
        <v>33</v>
      </c>
      <c r="H36" s="72" t="s">
        <v>1134</v>
      </c>
      <c r="I36" s="72" t="s">
        <v>34</v>
      </c>
      <c r="J36" s="72" t="s">
        <v>35</v>
      </c>
      <c r="K36" s="72" t="s">
        <v>36</v>
      </c>
      <c r="L36" s="72" t="s">
        <v>37</v>
      </c>
      <c r="M36" s="72" t="s">
        <v>38</v>
      </c>
      <c r="N36" s="72" t="s">
        <v>39</v>
      </c>
      <c r="O36" s="27" t="s">
        <v>552</v>
      </c>
      <c r="P36" s="27" t="s">
        <v>550</v>
      </c>
      <c r="Q36" s="27" t="s">
        <v>553</v>
      </c>
      <c r="R36" s="27" t="s">
        <v>551</v>
      </c>
      <c r="S36" s="72" t="s">
        <v>42</v>
      </c>
      <c r="T36" s="72" t="s">
        <v>483</v>
      </c>
      <c r="U36" s="72" t="s">
        <v>44</v>
      </c>
      <c r="V36" s="72" t="s">
        <v>45</v>
      </c>
      <c r="W36" s="72" t="s">
        <v>46</v>
      </c>
      <c r="X36" s="72" t="s">
        <v>47</v>
      </c>
      <c r="Y36" s="72" t="s">
        <v>48</v>
      </c>
      <c r="Z36" s="72" t="s">
        <v>49</v>
      </c>
      <c r="AA36" s="72" t="s">
        <v>50</v>
      </c>
      <c r="AB36" s="72" t="s">
        <v>51</v>
      </c>
      <c r="AC36" s="72" t="s">
        <v>52</v>
      </c>
      <c r="AD36" s="54" t="s">
        <v>53</v>
      </c>
      <c r="AE36" s="54" t="s">
        <v>54</v>
      </c>
      <c r="AF36" s="73">
        <v>20000000</v>
      </c>
      <c r="AG36" s="73"/>
      <c r="AH36" s="68" t="s">
        <v>55</v>
      </c>
      <c r="AI36" s="68" t="s">
        <v>56</v>
      </c>
      <c r="AJ36" s="68" t="s">
        <v>57</v>
      </c>
      <c r="AK36" s="68" t="s">
        <v>58</v>
      </c>
      <c r="AL36" s="68" t="s">
        <v>59</v>
      </c>
      <c r="AM36" s="68" t="s">
        <v>60</v>
      </c>
      <c r="AN36" s="68" t="s">
        <v>61</v>
      </c>
    </row>
    <row r="37" spans="1:40" ht="32" x14ac:dyDescent="0.2">
      <c r="A37" s="15">
        <v>26</v>
      </c>
      <c r="B37" s="15">
        <v>2025</v>
      </c>
      <c r="C37" s="15">
        <v>2</v>
      </c>
      <c r="D37" s="15">
        <v>2</v>
      </c>
      <c r="E37" s="128" t="s">
        <v>716</v>
      </c>
      <c r="F37" s="17" t="s">
        <v>904</v>
      </c>
      <c r="G37" s="17" t="s">
        <v>919</v>
      </c>
      <c r="H37" s="17"/>
      <c r="I37" s="15"/>
      <c r="J37" s="16"/>
      <c r="K37" s="16"/>
      <c r="L37" s="16"/>
      <c r="M37" s="16"/>
      <c r="N37" s="16"/>
      <c r="O37" s="15">
        <v>0</v>
      </c>
      <c r="P37" s="17"/>
      <c r="Q37" s="15">
        <v>1</v>
      </c>
      <c r="R37" s="16" t="s">
        <v>905</v>
      </c>
      <c r="S37" s="16"/>
      <c r="T37" s="246"/>
      <c r="U37" s="16" t="s">
        <v>228</v>
      </c>
      <c r="V37" s="16"/>
      <c r="W37" s="16"/>
      <c r="X37" s="18"/>
      <c r="Y37" s="315" t="s">
        <v>906</v>
      </c>
      <c r="Z37" s="41">
        <v>0</v>
      </c>
      <c r="AA37" s="15" t="s">
        <v>67</v>
      </c>
      <c r="AB37" s="15"/>
      <c r="AC37" s="16"/>
      <c r="AD37" s="252"/>
      <c r="AE37" s="252"/>
      <c r="AF37" s="305">
        <v>14637882</v>
      </c>
      <c r="AG37" s="16"/>
      <c r="AH37" s="303"/>
      <c r="AI37" s="16"/>
      <c r="AJ37" s="308"/>
      <c r="AK37" s="16"/>
      <c r="AL37" s="16"/>
      <c r="AM37" s="16"/>
      <c r="AN37" s="16"/>
    </row>
    <row r="38" spans="1:40" ht="45" customHeight="1" x14ac:dyDescent="0.2">
      <c r="A38" s="15">
        <v>36</v>
      </c>
      <c r="B38" s="15">
        <v>2025</v>
      </c>
      <c r="C38" s="15">
        <v>2</v>
      </c>
      <c r="D38" s="15">
        <v>2</v>
      </c>
      <c r="E38" s="128" t="s">
        <v>716</v>
      </c>
      <c r="F38" s="17" t="s">
        <v>961</v>
      </c>
      <c r="G38" s="17" t="s">
        <v>963</v>
      </c>
      <c r="H38" s="17"/>
      <c r="I38" s="15"/>
      <c r="J38" s="16"/>
      <c r="K38" s="16"/>
      <c r="L38" s="16"/>
      <c r="M38" s="16"/>
      <c r="N38" s="16"/>
      <c r="O38" s="15">
        <v>1</v>
      </c>
      <c r="P38" s="17" t="s">
        <v>962</v>
      </c>
      <c r="Q38" s="15">
        <v>0</v>
      </c>
      <c r="R38" s="16"/>
      <c r="S38" s="16"/>
      <c r="T38" s="246"/>
      <c r="U38" s="16" t="s">
        <v>228</v>
      </c>
      <c r="V38" s="16"/>
      <c r="W38" s="16"/>
      <c r="X38" s="16"/>
      <c r="Y38" s="317" t="s">
        <v>964</v>
      </c>
      <c r="Z38" s="310">
        <v>0</v>
      </c>
      <c r="AA38" s="15" t="s">
        <v>67</v>
      </c>
      <c r="AB38" s="15"/>
      <c r="AC38" s="16"/>
      <c r="AD38" s="252"/>
      <c r="AE38" s="252"/>
      <c r="AF38" s="16"/>
      <c r="AG38" s="16"/>
      <c r="AH38" s="18">
        <v>45848</v>
      </c>
      <c r="AI38" s="16"/>
      <c r="AJ38" s="253" t="s">
        <v>965</v>
      </c>
      <c r="AK38" s="16"/>
      <c r="AL38" s="16"/>
      <c r="AM38" s="16"/>
      <c r="AN38" s="16"/>
    </row>
    <row r="39" spans="1:40" ht="80" x14ac:dyDescent="0.2">
      <c r="A39" s="247">
        <v>3</v>
      </c>
      <c r="B39" s="247">
        <v>2025</v>
      </c>
      <c r="C39" s="37">
        <v>2</v>
      </c>
      <c r="D39" s="15">
        <v>2</v>
      </c>
      <c r="E39" s="33"/>
      <c r="F39" s="17" t="s">
        <v>1132</v>
      </c>
      <c r="G39" s="39" t="s">
        <v>1133</v>
      </c>
      <c r="H39" s="17" t="s">
        <v>1135</v>
      </c>
      <c r="I39" s="33"/>
      <c r="J39" s="17"/>
      <c r="K39" s="17"/>
      <c r="L39" s="17"/>
      <c r="M39" s="17"/>
      <c r="N39" s="17"/>
      <c r="O39" s="17"/>
      <c r="P39" s="17"/>
      <c r="Q39" s="17"/>
      <c r="R39" s="17"/>
      <c r="S39" s="17"/>
      <c r="T39" s="16"/>
      <c r="U39" s="16"/>
      <c r="V39" s="16"/>
      <c r="W39" s="35"/>
      <c r="X39" s="18"/>
      <c r="Y39" s="17"/>
      <c r="Z39" s="33"/>
      <c r="AA39" s="33"/>
      <c r="AB39" s="33"/>
      <c r="AC39" s="34"/>
      <c r="AD39" s="44"/>
      <c r="AE39" s="44"/>
      <c r="AF39" s="75"/>
      <c r="AG39" s="76"/>
      <c r="AH39" s="1"/>
      <c r="AI39" s="1"/>
      <c r="AJ39" s="1"/>
      <c r="AK39" s="1"/>
      <c r="AL39" s="1"/>
      <c r="AM39" s="1"/>
      <c r="AN39" s="1"/>
    </row>
    <row r="40" spans="1:40" x14ac:dyDescent="0.2">
      <c r="A40" s="247">
        <v>4</v>
      </c>
      <c r="B40" s="247"/>
      <c r="C40" s="37"/>
      <c r="D40" s="15"/>
      <c r="E40" s="33"/>
      <c r="F40" s="17"/>
      <c r="G40" s="17"/>
      <c r="H40" s="17"/>
      <c r="I40" s="33"/>
      <c r="J40" s="17"/>
      <c r="K40" s="17"/>
      <c r="L40" s="17"/>
      <c r="M40" s="17"/>
      <c r="N40" s="17"/>
      <c r="O40" s="17"/>
      <c r="P40" s="17"/>
      <c r="Q40" s="17"/>
      <c r="R40" s="17"/>
      <c r="S40" s="17"/>
      <c r="T40" s="16"/>
      <c r="U40" s="16"/>
      <c r="V40" s="16"/>
      <c r="W40" s="17"/>
      <c r="X40" s="18"/>
      <c r="Y40" s="17"/>
      <c r="Z40" s="33"/>
      <c r="AA40" s="33"/>
      <c r="AB40" s="33"/>
      <c r="AC40" s="34"/>
      <c r="AD40" s="44"/>
      <c r="AE40" s="44"/>
      <c r="AF40" s="75"/>
      <c r="AG40" s="75"/>
      <c r="AH40" s="69"/>
      <c r="AI40" s="1"/>
      <c r="AJ40" s="1"/>
      <c r="AK40" s="1"/>
      <c r="AL40" s="1"/>
      <c r="AM40" s="70"/>
      <c r="AN40" s="1"/>
    </row>
    <row r="41" spans="1:40" x14ac:dyDescent="0.2">
      <c r="A41" s="247">
        <v>5</v>
      </c>
      <c r="B41" s="247"/>
      <c r="C41" s="37"/>
      <c r="D41" s="15"/>
      <c r="E41" s="33"/>
      <c r="F41" s="17"/>
      <c r="G41" s="17"/>
      <c r="H41" s="17"/>
      <c r="I41" s="33"/>
      <c r="J41" s="17"/>
      <c r="K41" s="17"/>
      <c r="L41" s="17"/>
      <c r="M41" s="17"/>
      <c r="N41" s="17"/>
      <c r="O41" s="17"/>
      <c r="P41" s="17"/>
      <c r="Q41" s="17"/>
      <c r="R41" s="17"/>
      <c r="S41" s="17"/>
      <c r="T41" s="16"/>
      <c r="U41" s="16"/>
      <c r="V41" s="16"/>
      <c r="W41" s="17"/>
      <c r="X41" s="18"/>
      <c r="Y41" s="17"/>
      <c r="Z41" s="41"/>
      <c r="AA41" s="47"/>
      <c r="AB41" s="48"/>
      <c r="AC41" s="34"/>
      <c r="AD41" s="44"/>
      <c r="AE41" s="91"/>
      <c r="AF41" s="75"/>
      <c r="AG41" s="75"/>
      <c r="AH41" s="1"/>
      <c r="AI41" s="1"/>
      <c r="AJ41" s="1"/>
      <c r="AK41" s="1"/>
      <c r="AL41" s="1"/>
      <c r="AM41" s="1"/>
      <c r="AN41" s="1"/>
    </row>
    <row r="42" spans="1:40" x14ac:dyDescent="0.2">
      <c r="A42" s="247">
        <v>6</v>
      </c>
      <c r="B42" s="247"/>
      <c r="C42" s="37"/>
      <c r="D42" s="15"/>
      <c r="E42" s="33"/>
      <c r="F42" s="46"/>
      <c r="G42" s="17"/>
      <c r="H42" s="17"/>
      <c r="I42" s="33"/>
      <c r="J42" s="17"/>
      <c r="K42" s="17"/>
      <c r="L42" s="17"/>
      <c r="M42" s="17"/>
      <c r="N42" s="17"/>
      <c r="O42" s="17"/>
      <c r="P42" s="17"/>
      <c r="Q42" s="17"/>
      <c r="R42" s="17"/>
      <c r="S42" s="17"/>
      <c r="T42" s="16"/>
      <c r="U42" s="16"/>
      <c r="V42" s="16"/>
      <c r="W42" s="17"/>
      <c r="X42" s="18"/>
      <c r="Y42" s="16"/>
      <c r="Z42" s="15"/>
      <c r="AA42" s="15"/>
      <c r="AB42" s="15"/>
      <c r="AC42" s="17"/>
      <c r="AD42" s="44"/>
      <c r="AE42" s="44"/>
      <c r="AF42" s="75"/>
      <c r="AG42" s="2"/>
      <c r="AH42" s="1"/>
      <c r="AI42" s="1"/>
      <c r="AJ42" s="1"/>
      <c r="AK42" s="1"/>
      <c r="AL42" s="1"/>
      <c r="AM42" s="1"/>
      <c r="AN42" s="1"/>
    </row>
    <row r="43" spans="1:40" x14ac:dyDescent="0.2">
      <c r="A43" s="247">
        <v>7</v>
      </c>
      <c r="B43" s="247"/>
      <c r="C43" s="37"/>
      <c r="D43" s="15"/>
      <c r="E43" s="33"/>
      <c r="F43" s="46"/>
      <c r="G43" s="17"/>
      <c r="H43" s="17"/>
      <c r="I43" s="33"/>
      <c r="J43" s="17"/>
      <c r="K43" s="17"/>
      <c r="L43" s="17"/>
      <c r="M43" s="17"/>
      <c r="N43" s="17"/>
      <c r="O43" s="17"/>
      <c r="P43" s="17"/>
      <c r="Q43" s="17"/>
      <c r="R43" s="17"/>
      <c r="S43" s="17"/>
      <c r="T43" s="16"/>
      <c r="U43" s="16"/>
      <c r="V43" s="16"/>
      <c r="W43" s="17"/>
      <c r="X43" s="18"/>
      <c r="Y43" s="17"/>
      <c r="Z43" s="15"/>
      <c r="AA43" s="15"/>
      <c r="AB43" s="15"/>
      <c r="AC43" s="17"/>
      <c r="AD43" s="44"/>
      <c r="AE43" s="44"/>
      <c r="AF43" s="75"/>
      <c r="AG43" s="2"/>
      <c r="AH43" s="1"/>
      <c r="AI43" s="1"/>
      <c r="AJ43" s="1"/>
      <c r="AK43" s="1"/>
      <c r="AL43" s="1"/>
      <c r="AM43" s="1"/>
      <c r="AN43" s="1"/>
    </row>
    <row r="44" spans="1:40" x14ac:dyDescent="0.2">
      <c r="A44" s="247">
        <v>8</v>
      </c>
      <c r="B44" s="247"/>
      <c r="C44" s="37"/>
      <c r="D44" s="15"/>
      <c r="E44" s="33"/>
      <c r="F44" s="46"/>
      <c r="G44" s="17"/>
      <c r="H44" s="17"/>
      <c r="I44" s="33"/>
      <c r="J44" s="17"/>
      <c r="K44" s="17"/>
      <c r="L44" s="17"/>
      <c r="M44" s="17"/>
      <c r="N44" s="17"/>
      <c r="O44" s="17"/>
      <c r="P44" s="17"/>
      <c r="Q44" s="17"/>
      <c r="R44" s="17"/>
      <c r="S44" s="17"/>
      <c r="T44" s="16"/>
      <c r="U44" s="16"/>
      <c r="V44" s="16"/>
      <c r="W44" s="17"/>
      <c r="X44" s="18"/>
      <c r="Y44" s="16"/>
      <c r="Z44" s="15"/>
      <c r="AA44" s="15"/>
      <c r="AB44" s="15"/>
      <c r="AC44" s="17"/>
      <c r="AD44" s="44"/>
      <c r="AE44" s="44"/>
      <c r="AF44" s="75"/>
      <c r="AG44" s="2"/>
      <c r="AH44" s="1"/>
      <c r="AI44" s="1"/>
      <c r="AJ44" s="1"/>
      <c r="AK44" s="1"/>
      <c r="AL44" s="1"/>
      <c r="AM44" s="1"/>
      <c r="AN44" s="1"/>
    </row>
    <row r="45" spans="1:40" x14ac:dyDescent="0.2">
      <c r="A45" s="247">
        <v>9</v>
      </c>
      <c r="B45" s="247"/>
      <c r="C45" s="37"/>
      <c r="D45" s="15"/>
      <c r="E45" s="33"/>
      <c r="F45" s="46"/>
      <c r="G45" s="17"/>
      <c r="H45" s="17"/>
      <c r="I45" s="33"/>
      <c r="J45" s="17"/>
      <c r="K45" s="17"/>
      <c r="L45" s="17"/>
      <c r="M45" s="17"/>
      <c r="N45" s="17"/>
      <c r="O45" s="17"/>
      <c r="P45" s="17"/>
      <c r="Q45" s="17"/>
      <c r="R45" s="17"/>
      <c r="S45" s="17"/>
      <c r="T45" s="16"/>
      <c r="U45" s="16"/>
      <c r="V45" s="16"/>
      <c r="W45" s="17"/>
      <c r="X45" s="18"/>
      <c r="Y45" s="17"/>
      <c r="Z45" s="15"/>
      <c r="AA45" s="15"/>
      <c r="AB45" s="15"/>
      <c r="AC45" s="17"/>
      <c r="AD45" s="44"/>
      <c r="AE45" s="44"/>
      <c r="AF45" s="75"/>
      <c r="AG45" s="2"/>
      <c r="AH45" s="69"/>
      <c r="AI45" s="1"/>
      <c r="AJ45" s="1"/>
      <c r="AK45" s="1"/>
      <c r="AL45" s="1"/>
      <c r="AM45" s="70"/>
      <c r="AN45" s="1"/>
    </row>
    <row r="46" spans="1:40" x14ac:dyDescent="0.2">
      <c r="A46" s="247">
        <v>10</v>
      </c>
      <c r="B46" s="247"/>
      <c r="C46" s="37"/>
      <c r="D46" s="15"/>
      <c r="E46" s="33"/>
      <c r="F46" s="46"/>
      <c r="G46" s="17"/>
      <c r="H46" s="17"/>
      <c r="I46" s="33"/>
      <c r="J46" s="17"/>
      <c r="K46" s="17"/>
      <c r="L46" s="17"/>
      <c r="M46" s="17"/>
      <c r="N46" s="17"/>
      <c r="O46" s="17"/>
      <c r="P46" s="17"/>
      <c r="Q46" s="17"/>
      <c r="R46" s="17"/>
      <c r="S46" s="17"/>
      <c r="T46" s="16"/>
      <c r="U46" s="16"/>
      <c r="V46" s="16"/>
      <c r="W46" s="17"/>
      <c r="X46" s="18"/>
      <c r="Y46" s="16"/>
      <c r="Z46" s="15"/>
      <c r="AA46" s="15"/>
      <c r="AB46" s="15"/>
      <c r="AC46" s="17"/>
      <c r="AD46" s="44"/>
      <c r="AE46" s="44"/>
      <c r="AF46" s="75"/>
      <c r="AG46" s="2"/>
      <c r="AH46" s="1"/>
      <c r="AI46" s="1"/>
      <c r="AJ46" s="1"/>
      <c r="AK46" s="1"/>
      <c r="AL46" s="1"/>
      <c r="AM46" s="1"/>
      <c r="AN46" s="1"/>
    </row>
    <row r="47" spans="1:40" x14ac:dyDescent="0.2">
      <c r="A47" s="247">
        <v>11</v>
      </c>
      <c r="B47" s="247"/>
      <c r="C47" s="37"/>
      <c r="D47" s="15"/>
      <c r="E47" s="33"/>
      <c r="F47" s="46"/>
      <c r="G47" s="22"/>
      <c r="H47" s="22"/>
      <c r="I47" s="33"/>
      <c r="J47" s="17"/>
      <c r="K47" s="17"/>
      <c r="L47" s="17"/>
      <c r="M47" s="17"/>
      <c r="N47" s="17"/>
      <c r="O47" s="17"/>
      <c r="P47" s="17"/>
      <c r="Q47" s="17"/>
      <c r="R47" s="17"/>
      <c r="S47" s="17"/>
      <c r="T47" s="16"/>
      <c r="U47" s="16"/>
      <c r="V47" s="16"/>
      <c r="W47" s="17"/>
      <c r="X47" s="18"/>
      <c r="Y47" s="17"/>
      <c r="Z47" s="15"/>
      <c r="AA47" s="15"/>
      <c r="AB47" s="15"/>
      <c r="AC47" s="77"/>
      <c r="AD47" s="91"/>
      <c r="AE47" s="44"/>
      <c r="AF47" s="75"/>
      <c r="AG47" s="2"/>
      <c r="AH47" s="1"/>
      <c r="AI47" s="1"/>
      <c r="AJ47" s="1"/>
      <c r="AK47" s="1"/>
      <c r="AL47" s="1"/>
      <c r="AM47" s="1"/>
      <c r="AN47" s="1"/>
    </row>
    <row r="48" spans="1:40" x14ac:dyDescent="0.2">
      <c r="A48" s="247">
        <v>12</v>
      </c>
      <c r="B48" s="247"/>
      <c r="C48" s="37"/>
      <c r="D48" s="15"/>
      <c r="E48" s="15"/>
      <c r="F48" s="17"/>
      <c r="G48" s="49"/>
      <c r="H48" s="49"/>
      <c r="I48" s="15"/>
      <c r="J48" s="16"/>
      <c r="K48" s="16"/>
      <c r="L48" s="16"/>
      <c r="M48" s="16"/>
      <c r="N48" s="16"/>
      <c r="O48" s="16"/>
      <c r="P48" s="16"/>
      <c r="Q48" s="16"/>
      <c r="R48" s="16"/>
      <c r="S48" s="16"/>
      <c r="T48" s="16"/>
      <c r="U48" s="16"/>
      <c r="V48" s="16"/>
      <c r="W48" s="16"/>
      <c r="X48" s="16"/>
      <c r="Y48" s="2"/>
      <c r="Z48" s="15"/>
      <c r="AA48" s="15"/>
      <c r="AB48" s="15"/>
      <c r="AC48" s="16"/>
      <c r="AD48" s="92"/>
      <c r="AE48" s="45"/>
      <c r="AF48" s="75"/>
      <c r="AG48" s="1"/>
      <c r="AH48" s="1"/>
      <c r="AI48" s="1"/>
      <c r="AJ48" s="1"/>
      <c r="AK48" s="1"/>
      <c r="AL48" s="1"/>
      <c r="AM48" s="1"/>
      <c r="AN48" s="1"/>
    </row>
    <row r="49" spans="1:40" x14ac:dyDescent="0.2">
      <c r="A49" s="247">
        <v>13</v>
      </c>
      <c r="B49" s="247"/>
      <c r="C49" s="37"/>
      <c r="D49" s="15"/>
      <c r="E49" s="33"/>
      <c r="F49" s="2"/>
      <c r="G49" s="17"/>
      <c r="H49" s="17"/>
      <c r="I49" s="33"/>
      <c r="J49" s="17"/>
      <c r="K49" s="17"/>
      <c r="L49" s="17"/>
      <c r="M49" s="17"/>
      <c r="N49" s="17"/>
      <c r="O49" s="17"/>
      <c r="P49" s="17"/>
      <c r="Q49" s="17"/>
      <c r="R49" s="17"/>
      <c r="S49" s="17"/>
      <c r="T49" s="16"/>
      <c r="U49" s="16"/>
      <c r="V49" s="16"/>
      <c r="W49" s="17"/>
      <c r="X49" s="18"/>
      <c r="Y49" s="2"/>
      <c r="Z49" s="15"/>
      <c r="AA49" s="15"/>
      <c r="AB49" s="15"/>
      <c r="AC49" s="17"/>
      <c r="AD49" s="91"/>
      <c r="AE49" s="44"/>
      <c r="AF49" s="75"/>
      <c r="AG49" s="2"/>
      <c r="AH49" s="1"/>
      <c r="AI49" s="1"/>
      <c r="AJ49" s="1"/>
      <c r="AK49" s="1"/>
      <c r="AL49" s="1"/>
      <c r="AM49" s="1"/>
      <c r="AN49" s="1"/>
    </row>
    <row r="50" spans="1:40" x14ac:dyDescent="0.2">
      <c r="A50" s="247">
        <v>14</v>
      </c>
      <c r="B50" s="247"/>
      <c r="C50" s="37"/>
      <c r="D50" s="15"/>
      <c r="E50" s="33"/>
      <c r="F50" s="17"/>
      <c r="G50" s="17"/>
      <c r="H50" s="17"/>
      <c r="I50" s="33"/>
      <c r="J50" s="17"/>
      <c r="K50" s="17"/>
      <c r="L50" s="17"/>
      <c r="M50" s="17"/>
      <c r="N50" s="17"/>
      <c r="O50" s="17"/>
      <c r="P50" s="17"/>
      <c r="Q50" s="17"/>
      <c r="R50" s="17"/>
      <c r="S50" s="17"/>
      <c r="T50" s="16"/>
      <c r="U50" s="16"/>
      <c r="V50" s="16"/>
      <c r="W50" s="17"/>
      <c r="X50" s="18"/>
      <c r="Y50" s="17"/>
      <c r="Z50" s="15"/>
      <c r="AA50" s="15"/>
      <c r="AB50" s="15"/>
      <c r="AC50" s="17"/>
      <c r="AD50" s="44"/>
      <c r="AE50" s="44"/>
      <c r="AF50" s="75"/>
      <c r="AG50" s="2"/>
      <c r="AH50" s="69"/>
      <c r="AI50" s="1"/>
      <c r="AJ50" s="1"/>
      <c r="AK50" s="1"/>
      <c r="AL50" s="1"/>
      <c r="AM50" s="1"/>
      <c r="AN50" s="1"/>
    </row>
    <row r="51" spans="1:40" x14ac:dyDescent="0.2">
      <c r="A51" s="247">
        <v>15</v>
      </c>
      <c r="B51" s="247"/>
      <c r="C51" s="37"/>
      <c r="D51" s="15"/>
      <c r="E51" s="33"/>
      <c r="F51" s="17"/>
      <c r="G51" s="17"/>
      <c r="H51" s="17"/>
      <c r="I51" s="33"/>
      <c r="J51" s="17"/>
      <c r="K51" s="17"/>
      <c r="L51" s="17"/>
      <c r="M51" s="17"/>
      <c r="N51" s="17"/>
      <c r="O51" s="17"/>
      <c r="P51" s="17"/>
      <c r="Q51" s="17"/>
      <c r="R51" s="17"/>
      <c r="S51" s="17"/>
      <c r="T51" s="16"/>
      <c r="U51" s="16"/>
      <c r="V51" s="16"/>
      <c r="W51" s="17"/>
      <c r="X51" s="18"/>
      <c r="Y51" s="16"/>
      <c r="Z51" s="15"/>
      <c r="AA51" s="15"/>
      <c r="AB51" s="15"/>
      <c r="AC51" s="17"/>
      <c r="AD51" s="44"/>
      <c r="AE51" s="44"/>
      <c r="AF51" s="75"/>
      <c r="AG51" s="2"/>
      <c r="AH51" s="69"/>
      <c r="AI51" s="1"/>
      <c r="AJ51" s="1"/>
      <c r="AK51" s="1"/>
      <c r="AL51" s="1"/>
      <c r="AM51" s="1"/>
      <c r="AN51" s="1"/>
    </row>
    <row r="52" spans="1:40" x14ac:dyDescent="0.2">
      <c r="A52" s="247">
        <v>16</v>
      </c>
      <c r="B52" s="247"/>
      <c r="C52" s="37"/>
      <c r="D52" s="15"/>
      <c r="E52" s="33"/>
      <c r="F52" s="17"/>
      <c r="G52" s="17"/>
      <c r="H52" s="17"/>
      <c r="I52" s="33"/>
      <c r="J52" s="17"/>
      <c r="K52" s="17"/>
      <c r="L52" s="17"/>
      <c r="M52" s="17"/>
      <c r="N52" s="17"/>
      <c r="O52" s="17"/>
      <c r="P52" s="17"/>
      <c r="Q52" s="17"/>
      <c r="R52" s="17"/>
      <c r="S52" s="17"/>
      <c r="T52" s="16"/>
      <c r="U52" s="16"/>
      <c r="V52" s="16"/>
      <c r="W52" s="17"/>
      <c r="X52" s="18"/>
      <c r="Y52" s="16"/>
      <c r="Z52" s="15"/>
      <c r="AA52" s="15"/>
      <c r="AB52" s="15"/>
      <c r="AC52" s="17"/>
      <c r="AD52" s="44"/>
      <c r="AE52" s="44"/>
      <c r="AF52" s="75"/>
      <c r="AG52" s="2"/>
      <c r="AH52" s="69"/>
      <c r="AI52" s="1"/>
      <c r="AJ52" s="1"/>
      <c r="AK52" s="1"/>
      <c r="AL52" s="1"/>
      <c r="AM52" s="1"/>
      <c r="AN52" s="1"/>
    </row>
    <row r="53" spans="1:40" x14ac:dyDescent="0.2">
      <c r="A53" s="247">
        <v>17</v>
      </c>
      <c r="B53" s="247"/>
      <c r="C53" s="37"/>
      <c r="D53" s="15"/>
      <c r="E53" s="33"/>
      <c r="F53" s="17"/>
      <c r="G53" s="17"/>
      <c r="H53" s="17"/>
      <c r="I53" s="33"/>
      <c r="J53" s="17"/>
      <c r="K53" s="17"/>
      <c r="L53" s="17"/>
      <c r="M53" s="17"/>
      <c r="N53" s="17"/>
      <c r="O53" s="17"/>
      <c r="P53" s="17"/>
      <c r="Q53" s="17"/>
      <c r="R53" s="17"/>
      <c r="S53" s="17"/>
      <c r="T53" s="16"/>
      <c r="U53" s="16"/>
      <c r="V53" s="16"/>
      <c r="W53" s="17"/>
      <c r="X53" s="18"/>
      <c r="Y53" s="16"/>
      <c r="Z53" s="15"/>
      <c r="AA53" s="15"/>
      <c r="AB53" s="15"/>
      <c r="AC53" s="17"/>
      <c r="AD53" s="44"/>
      <c r="AE53" s="44"/>
      <c r="AF53" s="75"/>
      <c r="AG53" s="2"/>
      <c r="AH53" s="69"/>
      <c r="AI53" s="1"/>
      <c r="AJ53" s="1"/>
      <c r="AK53" s="1"/>
      <c r="AL53" s="1"/>
      <c r="AM53" s="70"/>
      <c r="AN53" s="1"/>
    </row>
    <row r="54" spans="1:40" x14ac:dyDescent="0.2">
      <c r="A54" s="247">
        <v>18</v>
      </c>
      <c r="B54" s="247"/>
      <c r="C54" s="37"/>
      <c r="D54" s="15"/>
      <c r="E54" s="33"/>
      <c r="F54" s="17"/>
      <c r="G54" s="17"/>
      <c r="H54" s="17"/>
      <c r="I54" s="33"/>
      <c r="J54" s="17"/>
      <c r="K54" s="17"/>
      <c r="L54" s="17"/>
      <c r="M54" s="17"/>
      <c r="N54" s="17"/>
      <c r="O54" s="17"/>
      <c r="P54" s="17"/>
      <c r="Q54" s="17"/>
      <c r="R54" s="17"/>
      <c r="S54" s="17"/>
      <c r="T54" s="16"/>
      <c r="U54" s="16"/>
      <c r="V54" s="16"/>
      <c r="W54" s="17"/>
      <c r="X54" s="18"/>
      <c r="Y54" s="16"/>
      <c r="Z54" s="15"/>
      <c r="AA54" s="15"/>
      <c r="AB54" s="15"/>
      <c r="AC54" s="17"/>
      <c r="AD54" s="44"/>
      <c r="AE54" s="44"/>
      <c r="AF54" s="75"/>
      <c r="AG54" s="2"/>
      <c r="AH54" s="1"/>
      <c r="AI54" s="1"/>
      <c r="AJ54" s="1"/>
      <c r="AK54" s="1"/>
      <c r="AL54" s="1"/>
      <c r="AM54" s="1"/>
      <c r="AN54" s="1"/>
    </row>
    <row r="55" spans="1:40" x14ac:dyDescent="0.2">
      <c r="A55" s="37"/>
      <c r="B55" s="37"/>
      <c r="C55" s="37"/>
      <c r="D55" s="15"/>
      <c r="E55" s="33"/>
      <c r="F55" s="17"/>
      <c r="G55" s="17"/>
      <c r="H55" s="17"/>
      <c r="I55" s="33"/>
      <c r="J55" s="17"/>
      <c r="K55" s="17"/>
      <c r="L55" s="17"/>
      <c r="M55" s="17"/>
      <c r="N55" s="17"/>
      <c r="O55" s="17"/>
      <c r="P55" s="17"/>
      <c r="Q55" s="17"/>
      <c r="R55" s="17"/>
      <c r="S55" s="17"/>
      <c r="T55" s="16"/>
      <c r="U55" s="16"/>
      <c r="V55" s="16"/>
      <c r="W55" s="17"/>
      <c r="X55" s="18"/>
      <c r="Y55" s="16"/>
      <c r="Z55" s="15"/>
      <c r="AA55" s="15"/>
      <c r="AB55" s="15"/>
      <c r="AC55" s="17"/>
      <c r="AD55" s="44"/>
      <c r="AE55" s="44"/>
      <c r="AF55" s="75"/>
      <c r="AG55" s="2"/>
      <c r="AH55" s="1"/>
      <c r="AI55" s="1"/>
      <c r="AJ55" s="1"/>
      <c r="AK55" s="1"/>
      <c r="AL55" s="1"/>
      <c r="AM55" s="1"/>
      <c r="AN55" s="1"/>
    </row>
    <row r="56" spans="1:40" x14ac:dyDescent="0.2">
      <c r="A56" s="37"/>
      <c r="B56" s="37"/>
      <c r="C56" s="37"/>
      <c r="D56" s="15"/>
      <c r="E56" s="33"/>
      <c r="F56" s="17"/>
      <c r="G56" s="17"/>
      <c r="H56" s="17"/>
      <c r="I56" s="33"/>
      <c r="J56" s="17"/>
      <c r="K56" s="17"/>
      <c r="L56" s="17"/>
      <c r="M56" s="17"/>
      <c r="N56" s="17"/>
      <c r="O56" s="17"/>
      <c r="P56" s="17"/>
      <c r="Q56" s="17"/>
      <c r="R56" s="17"/>
      <c r="S56" s="17"/>
      <c r="T56" s="16"/>
      <c r="U56" s="16"/>
      <c r="V56" s="16"/>
      <c r="W56" s="17"/>
      <c r="X56" s="18"/>
      <c r="Y56" s="16"/>
      <c r="Z56" s="15"/>
      <c r="AA56" s="15"/>
      <c r="AB56" s="15"/>
      <c r="AC56" s="17"/>
      <c r="AD56" s="44"/>
      <c r="AE56" s="44"/>
      <c r="AF56" s="75"/>
      <c r="AG56" s="2"/>
      <c r="AH56" s="1"/>
      <c r="AI56" s="1"/>
      <c r="AJ56" s="1"/>
      <c r="AK56" s="1"/>
      <c r="AL56" s="1"/>
      <c r="AM56" s="1"/>
      <c r="AN56" s="1"/>
    </row>
    <row r="57" spans="1:40" ht="22" thickBot="1" x14ac:dyDescent="0.25">
      <c r="I57" s="6"/>
      <c r="J57" s="25"/>
      <c r="K57" s="25"/>
      <c r="L57" s="25"/>
      <c r="M57" s="25"/>
      <c r="N57" s="25"/>
      <c r="O57" s="25"/>
      <c r="P57" s="25"/>
      <c r="Q57" s="25"/>
      <c r="R57" s="25"/>
      <c r="S57" s="25"/>
      <c r="T57" s="25"/>
      <c r="U57" s="25"/>
      <c r="V57" s="25"/>
      <c r="W57" s="25"/>
      <c r="X57" s="25"/>
      <c r="Y57" s="24" t="s">
        <v>17</v>
      </c>
      <c r="Z57" s="40"/>
      <c r="AA57" s="40"/>
      <c r="AB57" s="40"/>
      <c r="AC57" s="28" t="s">
        <v>224</v>
      </c>
      <c r="AD57" s="29">
        <f>SUM(AD39:AD56)</f>
        <v>0</v>
      </c>
      <c r="AE57" s="42"/>
    </row>
    <row r="60" spans="1:40" ht="16" x14ac:dyDescent="0.2">
      <c r="F60" s="93" t="s">
        <v>487</v>
      </c>
    </row>
    <row r="61" spans="1:40" x14ac:dyDescent="0.2">
      <c r="AF61" s="36"/>
      <c r="AG61" s="36"/>
    </row>
  </sheetData>
  <mergeCells count="4">
    <mergeCell ref="D6:AC6"/>
    <mergeCell ref="AH6:AM6"/>
    <mergeCell ref="D25:AC25"/>
    <mergeCell ref="AH25:AM25"/>
  </mergeCells>
  <dataValidations disablePrompts="1" count="1">
    <dataValidation type="list" allowBlank="1" showInputMessage="1" showErrorMessage="1" sqref="U49:U56 U38:U47 U18:U19 U27" xr:uid="{00000000-0002-0000-0100-000000000000}">
      <formula1>"En preparación, Enviada, Aceptada, En prensa, Publicada"</formula1>
    </dataValidation>
  </dataValidations>
  <hyperlinks>
    <hyperlink ref="AJ27" r:id="rId1" xr:uid="{B0A1B0FB-0AEE-4A8D-AD0E-652A929A67F8}"/>
    <hyperlink ref="AM27" r:id="rId2" xr:uid="{355CB6E3-CAB7-45A9-B633-697471CA02FD}"/>
    <hyperlink ref="AJ29" r:id="rId3" xr:uid="{40BE3093-933C-4AB2-B903-32CA12D683AF}"/>
    <hyperlink ref="AJ30" r:id="rId4" xr:uid="{F46D0130-C412-4DB4-B9A3-73489F4DB473}"/>
    <hyperlink ref="AJ38" r:id="rId5" xr:uid="{84BEF405-9EF3-4B60-A52A-109B8004170D}"/>
  </hyperlinks>
  <pageMargins left="0.7" right="0.7" top="0.75" bottom="0.75" header="0.3" footer="0.3"/>
  <pageSetup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U30"/>
  <sheetViews>
    <sheetView zoomScale="70" zoomScaleNormal="70" workbookViewId="0">
      <selection activeCell="G14" sqref="G14"/>
    </sheetView>
  </sheetViews>
  <sheetFormatPr baseColWidth="10" defaultColWidth="11.5" defaultRowHeight="15" x14ac:dyDescent="0.2"/>
  <cols>
    <col min="1" max="2" width="5.83203125" style="4" customWidth="1"/>
    <col min="3" max="3" width="40.6640625" customWidth="1"/>
    <col min="4" max="4" width="29.83203125" customWidth="1"/>
    <col min="5" max="5" width="22.1640625" customWidth="1"/>
    <col min="6" max="6" width="28.5" bestFit="1" customWidth="1"/>
    <col min="7" max="7" width="35.33203125" bestFit="1" customWidth="1"/>
    <col min="8" max="9" width="29.83203125" customWidth="1"/>
    <col min="10" max="10" width="34.83203125" customWidth="1"/>
    <col min="11" max="11" width="21.83203125" customWidth="1"/>
    <col min="12" max="12" width="15.1640625" bestFit="1" customWidth="1"/>
    <col min="13" max="13" width="21.5" customWidth="1"/>
    <col min="14" max="14" width="19.5" customWidth="1"/>
    <col min="15" max="15" width="21.5" customWidth="1"/>
    <col min="16" max="17" width="18.83203125" customWidth="1"/>
    <col min="18" max="18" width="15.5" customWidth="1"/>
    <col min="19" max="19" width="18.83203125" customWidth="1"/>
    <col min="20" max="20" width="14.33203125" customWidth="1"/>
    <col min="21" max="21" width="24.1640625" customWidth="1"/>
  </cols>
  <sheetData>
    <row r="2" spans="1:21" ht="26" x14ac:dyDescent="0.3">
      <c r="C2" s="3" t="s">
        <v>505</v>
      </c>
      <c r="D2" s="3"/>
      <c r="E2" s="3"/>
      <c r="H2" s="3"/>
    </row>
    <row r="3" spans="1:21" ht="18" customHeight="1" x14ac:dyDescent="0.3">
      <c r="C3" s="9" t="s">
        <v>489</v>
      </c>
      <c r="D3" s="3"/>
      <c r="E3" s="3"/>
      <c r="H3" s="3"/>
      <c r="N3" s="9" t="s">
        <v>23</v>
      </c>
    </row>
    <row r="4" spans="1:21" ht="14.25" customHeight="1" x14ac:dyDescent="0.2">
      <c r="N4" s="453" t="s">
        <v>506</v>
      </c>
      <c r="O4" s="454"/>
      <c r="P4" s="454"/>
      <c r="Q4" s="454"/>
      <c r="R4" s="454"/>
      <c r="S4" s="454"/>
      <c r="T4" s="454"/>
      <c r="U4" s="455"/>
    </row>
    <row r="5" spans="1:21" ht="48" x14ac:dyDescent="0.2">
      <c r="A5" s="6" t="s">
        <v>29</v>
      </c>
      <c r="B5" s="10" t="s">
        <v>7</v>
      </c>
      <c r="C5" s="10" t="s">
        <v>507</v>
      </c>
      <c r="D5" s="10" t="s">
        <v>508</v>
      </c>
      <c r="E5" s="10" t="s">
        <v>509</v>
      </c>
      <c r="F5" s="10" t="s">
        <v>492</v>
      </c>
      <c r="G5" s="10" t="s">
        <v>42</v>
      </c>
      <c r="H5" s="10" t="s">
        <v>510</v>
      </c>
      <c r="I5" s="10" t="s">
        <v>511</v>
      </c>
      <c r="J5" s="10" t="s">
        <v>512</v>
      </c>
      <c r="K5" s="10" t="s">
        <v>495</v>
      </c>
      <c r="L5" s="11" t="s">
        <v>44</v>
      </c>
      <c r="M5" s="11" t="s">
        <v>45</v>
      </c>
      <c r="N5" s="7" t="s">
        <v>497</v>
      </c>
      <c r="O5" s="7" t="s">
        <v>498</v>
      </c>
      <c r="P5" s="8" t="s">
        <v>499</v>
      </c>
      <c r="Q5" s="7" t="s">
        <v>500</v>
      </c>
      <c r="R5" s="7" t="s">
        <v>513</v>
      </c>
      <c r="S5" s="7" t="s">
        <v>501</v>
      </c>
      <c r="T5" s="7" t="s">
        <v>59</v>
      </c>
      <c r="U5" s="7" t="s">
        <v>514</v>
      </c>
    </row>
    <row r="6" spans="1:21" s="19" customFormat="1" ht="128" x14ac:dyDescent="0.2">
      <c r="A6" s="6">
        <v>1</v>
      </c>
      <c r="B6" s="37" t="s">
        <v>294</v>
      </c>
      <c r="C6" s="17" t="s">
        <v>515</v>
      </c>
      <c r="D6" s="17" t="s">
        <v>516</v>
      </c>
      <c r="E6" s="33" t="s">
        <v>517</v>
      </c>
      <c r="F6" s="17" t="s">
        <v>518</v>
      </c>
      <c r="G6" s="17"/>
      <c r="H6" s="15" t="s">
        <v>519</v>
      </c>
      <c r="I6" s="17" t="s">
        <v>520</v>
      </c>
      <c r="J6" s="17" t="s">
        <v>521</v>
      </c>
      <c r="K6" s="17" t="s">
        <v>522</v>
      </c>
      <c r="L6" s="16" t="s">
        <v>228</v>
      </c>
      <c r="M6" s="16" t="s">
        <v>523</v>
      </c>
      <c r="N6" s="17" t="s">
        <v>524</v>
      </c>
      <c r="O6" s="17" t="s">
        <v>525</v>
      </c>
      <c r="P6" s="89" t="s">
        <v>526</v>
      </c>
      <c r="Q6" s="17"/>
      <c r="R6" s="33">
        <v>255</v>
      </c>
      <c r="S6" s="17" t="s">
        <v>523</v>
      </c>
      <c r="T6" s="17"/>
      <c r="U6" s="90" t="s">
        <v>527</v>
      </c>
    </row>
    <row r="7" spans="1:21" x14ac:dyDescent="0.2">
      <c r="A7" s="4">
        <v>2</v>
      </c>
      <c r="B7" s="5"/>
      <c r="C7" s="2"/>
      <c r="D7" s="2"/>
      <c r="E7" s="2"/>
      <c r="F7" s="2"/>
      <c r="G7" s="2"/>
      <c r="H7" s="2"/>
      <c r="I7" s="2"/>
      <c r="J7" s="2"/>
      <c r="K7" s="2"/>
      <c r="L7" s="1"/>
      <c r="M7" s="1"/>
      <c r="N7" s="2"/>
      <c r="O7" s="2"/>
      <c r="P7" s="2"/>
      <c r="Q7" s="2"/>
      <c r="R7" s="2"/>
      <c r="S7" s="2"/>
      <c r="T7" s="2"/>
      <c r="U7" s="1"/>
    </row>
    <row r="8" spans="1:21" x14ac:dyDescent="0.2">
      <c r="A8" s="4">
        <v>3</v>
      </c>
      <c r="B8" s="5"/>
      <c r="C8" s="2"/>
      <c r="D8" s="2"/>
      <c r="E8" s="2"/>
      <c r="F8" s="2"/>
      <c r="G8" s="2"/>
      <c r="H8" s="2"/>
      <c r="I8" s="2"/>
      <c r="J8" s="2"/>
      <c r="K8" s="2"/>
      <c r="L8" s="1"/>
      <c r="M8" s="1"/>
      <c r="N8" s="2"/>
      <c r="O8" s="2"/>
      <c r="P8" s="2"/>
      <c r="Q8" s="2"/>
      <c r="R8" s="2"/>
      <c r="S8" s="2"/>
      <c r="T8" s="2"/>
      <c r="U8" s="1"/>
    </row>
    <row r="9" spans="1:21" x14ac:dyDescent="0.2">
      <c r="A9" s="4">
        <v>4</v>
      </c>
      <c r="B9" s="5"/>
      <c r="C9" s="2"/>
      <c r="D9" s="2"/>
      <c r="E9" s="2"/>
      <c r="F9" s="2"/>
      <c r="G9" s="2"/>
      <c r="H9" s="2"/>
      <c r="I9" s="2"/>
      <c r="J9" s="2"/>
      <c r="K9" s="2"/>
      <c r="L9" s="1"/>
      <c r="M9" s="1"/>
      <c r="N9" s="2"/>
      <c r="O9" s="2"/>
      <c r="P9" s="2"/>
      <c r="Q9" s="2"/>
      <c r="R9" s="2"/>
      <c r="S9" s="2"/>
      <c r="T9" s="2"/>
      <c r="U9" s="1"/>
    </row>
    <row r="10" spans="1:21" x14ac:dyDescent="0.2">
      <c r="A10" s="4">
        <v>5</v>
      </c>
      <c r="B10" s="5"/>
      <c r="C10" s="2"/>
      <c r="D10" s="2"/>
      <c r="E10" s="2"/>
      <c r="F10" s="2"/>
      <c r="G10" s="2"/>
      <c r="H10" s="2"/>
      <c r="I10" s="2"/>
      <c r="J10" s="2"/>
      <c r="K10" s="2"/>
      <c r="L10" s="1"/>
      <c r="M10" s="1"/>
      <c r="N10" s="2"/>
      <c r="O10" s="2"/>
      <c r="P10" s="2"/>
      <c r="Q10" s="2"/>
      <c r="R10" s="2"/>
      <c r="S10" s="2"/>
      <c r="T10" s="2"/>
      <c r="U10" s="1"/>
    </row>
    <row r="11" spans="1:21" x14ac:dyDescent="0.2">
      <c r="A11" s="4">
        <v>6</v>
      </c>
      <c r="B11" s="5"/>
      <c r="C11" s="2"/>
      <c r="D11" s="2"/>
      <c r="E11" s="2"/>
      <c r="F11" s="2"/>
      <c r="G11" s="2"/>
      <c r="H11" s="2"/>
      <c r="I11" s="2"/>
      <c r="J11" s="2"/>
      <c r="K11" s="2"/>
      <c r="L11" s="1"/>
      <c r="M11" s="1"/>
      <c r="N11" s="2"/>
      <c r="O11" s="2"/>
      <c r="P11" s="2"/>
      <c r="Q11" s="2"/>
      <c r="R11" s="2"/>
      <c r="S11" s="2"/>
      <c r="T11" s="2"/>
      <c r="U11" s="1"/>
    </row>
    <row r="12" spans="1:21" x14ac:dyDescent="0.2">
      <c r="A12" s="4">
        <v>7</v>
      </c>
      <c r="B12" s="5"/>
      <c r="C12" s="2"/>
      <c r="D12" s="2"/>
      <c r="E12" s="2"/>
      <c r="F12" s="2"/>
      <c r="G12" s="2"/>
      <c r="H12" s="2"/>
      <c r="I12" s="2"/>
      <c r="J12" s="2"/>
      <c r="K12" s="2"/>
      <c r="L12" s="1"/>
      <c r="M12" s="1"/>
      <c r="N12" s="2"/>
      <c r="O12" s="2"/>
      <c r="P12" s="2"/>
      <c r="Q12" s="2"/>
      <c r="R12" s="2"/>
      <c r="S12" s="2"/>
      <c r="T12" s="2"/>
      <c r="U12" s="1"/>
    </row>
    <row r="13" spans="1:21" x14ac:dyDescent="0.2">
      <c r="A13" s="4">
        <v>8</v>
      </c>
      <c r="B13" s="5"/>
      <c r="C13" s="2"/>
      <c r="D13" s="2"/>
      <c r="E13" s="2"/>
      <c r="F13" s="2"/>
      <c r="G13" s="2"/>
      <c r="H13" s="2"/>
      <c r="I13" s="2"/>
      <c r="J13" s="2"/>
      <c r="K13" s="2"/>
      <c r="L13" s="1"/>
      <c r="M13" s="1"/>
      <c r="N13" s="2"/>
      <c r="O13" s="2"/>
      <c r="P13" s="2"/>
      <c r="Q13" s="2"/>
      <c r="R13" s="2"/>
      <c r="S13" s="2"/>
      <c r="T13" s="2"/>
      <c r="U13" s="1"/>
    </row>
    <row r="14" spans="1:21" x14ac:dyDescent="0.2">
      <c r="A14" s="4">
        <v>9</v>
      </c>
      <c r="B14" s="5"/>
      <c r="C14" s="2"/>
      <c r="D14" s="2"/>
      <c r="E14" s="2"/>
      <c r="F14" s="2"/>
      <c r="G14" s="2"/>
      <c r="H14" s="2"/>
      <c r="I14" s="2"/>
      <c r="J14" s="2"/>
      <c r="K14" s="2"/>
      <c r="L14" s="1"/>
      <c r="M14" s="1"/>
      <c r="N14" s="2"/>
      <c r="O14" s="2"/>
      <c r="P14" s="2"/>
      <c r="Q14" s="2"/>
      <c r="R14" s="2"/>
      <c r="S14" s="2"/>
      <c r="T14" s="2"/>
      <c r="U14" s="1"/>
    </row>
    <row r="15" spans="1:21" x14ac:dyDescent="0.2">
      <c r="A15" s="4">
        <v>10</v>
      </c>
      <c r="B15" s="5"/>
      <c r="C15" s="2"/>
      <c r="D15" s="2"/>
      <c r="E15" s="2"/>
      <c r="F15" s="2"/>
      <c r="G15" s="2"/>
      <c r="H15" s="2"/>
      <c r="I15" s="2"/>
      <c r="J15" s="2"/>
      <c r="K15" s="2"/>
      <c r="L15" s="1"/>
      <c r="M15" s="1"/>
      <c r="N15" s="2"/>
      <c r="O15" s="2"/>
      <c r="P15" s="2"/>
      <c r="Q15" s="2"/>
      <c r="R15" s="2"/>
      <c r="S15" s="2"/>
      <c r="T15" s="2"/>
      <c r="U15" s="1"/>
    </row>
    <row r="16" spans="1:21" x14ac:dyDescent="0.2">
      <c r="A16" s="4">
        <v>11</v>
      </c>
      <c r="B16" s="5"/>
      <c r="C16" s="2"/>
      <c r="D16" s="2"/>
      <c r="E16" s="2"/>
      <c r="F16" s="2"/>
      <c r="G16" s="2"/>
      <c r="H16" s="2"/>
      <c r="I16" s="2"/>
      <c r="J16" s="2"/>
      <c r="K16" s="2"/>
      <c r="L16" s="1"/>
      <c r="M16" s="1"/>
      <c r="N16" s="2"/>
      <c r="O16" s="2"/>
      <c r="P16" s="2"/>
      <c r="Q16" s="2"/>
      <c r="R16" s="2"/>
      <c r="S16" s="2"/>
      <c r="T16" s="2"/>
      <c r="U16" s="1"/>
    </row>
    <row r="17" spans="1:21" x14ac:dyDescent="0.2">
      <c r="A17" s="4">
        <v>12</v>
      </c>
      <c r="B17" s="5"/>
      <c r="C17" s="1"/>
      <c r="D17" s="1"/>
      <c r="E17" s="1"/>
      <c r="F17" s="1"/>
      <c r="G17" s="1"/>
      <c r="H17" s="1"/>
      <c r="I17" s="1"/>
      <c r="J17" s="1"/>
      <c r="K17" s="1"/>
      <c r="L17" s="1"/>
      <c r="M17" s="1"/>
      <c r="N17" s="1"/>
      <c r="O17" s="1"/>
      <c r="P17" s="1"/>
      <c r="Q17" s="1"/>
      <c r="R17" s="1"/>
      <c r="S17" s="1"/>
      <c r="T17" s="1"/>
      <c r="U17" s="1"/>
    </row>
    <row r="18" spans="1:21" x14ac:dyDescent="0.2">
      <c r="A18" s="4">
        <v>13</v>
      </c>
      <c r="B18" s="5"/>
      <c r="C18" s="1"/>
      <c r="D18" s="1"/>
      <c r="E18" s="1"/>
      <c r="F18" s="1"/>
      <c r="G18" s="1"/>
      <c r="H18" s="1"/>
      <c r="I18" s="1"/>
      <c r="J18" s="1"/>
      <c r="K18" s="1"/>
      <c r="L18" s="1"/>
      <c r="M18" s="1"/>
      <c r="N18" s="1"/>
      <c r="O18" s="1"/>
      <c r="P18" s="1"/>
      <c r="Q18" s="1"/>
      <c r="R18" s="1"/>
      <c r="S18" s="1"/>
      <c r="T18" s="1"/>
      <c r="U18" s="1"/>
    </row>
    <row r="19" spans="1:21" x14ac:dyDescent="0.2">
      <c r="A19" s="4">
        <v>14</v>
      </c>
      <c r="B19" s="5"/>
      <c r="C19" s="1"/>
      <c r="D19" s="1"/>
      <c r="E19" s="1"/>
      <c r="F19" s="1"/>
      <c r="G19" s="1"/>
      <c r="H19" s="1"/>
      <c r="I19" s="1"/>
      <c r="J19" s="1"/>
      <c r="K19" s="1"/>
      <c r="L19" s="1"/>
      <c r="M19" s="1"/>
      <c r="N19" s="1"/>
      <c r="O19" s="1"/>
      <c r="P19" s="1"/>
      <c r="Q19" s="1"/>
      <c r="R19" s="1"/>
      <c r="S19" s="1"/>
      <c r="T19" s="1"/>
      <c r="U19" s="1"/>
    </row>
    <row r="20" spans="1:21" x14ac:dyDescent="0.2">
      <c r="A20" s="4">
        <v>15</v>
      </c>
      <c r="B20" s="5"/>
      <c r="C20" s="1"/>
      <c r="D20" s="1"/>
      <c r="E20" s="1"/>
      <c r="F20" s="1"/>
      <c r="G20" s="1"/>
      <c r="H20" s="1"/>
      <c r="I20" s="1"/>
      <c r="J20" s="1"/>
      <c r="K20" s="1"/>
      <c r="L20" s="1"/>
      <c r="M20" s="1"/>
      <c r="N20" s="1"/>
      <c r="O20" s="1"/>
      <c r="P20" s="1"/>
      <c r="Q20" s="1"/>
      <c r="R20" s="1"/>
      <c r="S20" s="1"/>
      <c r="T20" s="1"/>
      <c r="U20" s="1"/>
    </row>
    <row r="21" spans="1:21" x14ac:dyDescent="0.2">
      <c r="A21" s="4">
        <v>16</v>
      </c>
      <c r="B21" s="5"/>
      <c r="C21" s="1"/>
      <c r="D21" s="1"/>
      <c r="E21" s="1"/>
      <c r="F21" s="1"/>
      <c r="G21" s="1"/>
      <c r="H21" s="1"/>
      <c r="I21" s="1"/>
      <c r="J21" s="1"/>
      <c r="K21" s="1"/>
      <c r="L21" s="1"/>
      <c r="M21" s="1"/>
      <c r="N21" s="1"/>
      <c r="O21" s="1"/>
      <c r="P21" s="1"/>
      <c r="Q21" s="1"/>
      <c r="R21" s="1"/>
      <c r="S21" s="1"/>
      <c r="T21" s="1"/>
      <c r="U21" s="1"/>
    </row>
    <row r="22" spans="1:21" x14ac:dyDescent="0.2">
      <c r="A22" s="4">
        <v>17</v>
      </c>
      <c r="B22" s="5"/>
      <c r="C22" s="1"/>
      <c r="D22" s="1"/>
      <c r="E22" s="1"/>
      <c r="F22" s="1"/>
      <c r="G22" s="1"/>
      <c r="H22" s="1"/>
      <c r="I22" s="1"/>
      <c r="J22" s="1"/>
      <c r="K22" s="1"/>
      <c r="L22" s="1"/>
      <c r="M22" s="1"/>
      <c r="N22" s="1"/>
      <c r="O22" s="1"/>
      <c r="P22" s="1"/>
      <c r="Q22" s="1"/>
      <c r="R22" s="1"/>
      <c r="S22" s="1"/>
      <c r="T22" s="1"/>
      <c r="U22" s="1"/>
    </row>
    <row r="23" spans="1:21" x14ac:dyDescent="0.2">
      <c r="A23" s="4">
        <v>18</v>
      </c>
      <c r="B23" s="5"/>
      <c r="C23" s="1"/>
      <c r="D23" s="1"/>
      <c r="E23" s="1"/>
      <c r="F23" s="1"/>
      <c r="G23" s="1"/>
      <c r="H23" s="1"/>
      <c r="I23" s="1"/>
      <c r="J23" s="1"/>
      <c r="K23" s="1"/>
      <c r="L23" s="1"/>
      <c r="M23" s="1"/>
      <c r="N23" s="1"/>
      <c r="O23" s="1"/>
      <c r="P23" s="1"/>
      <c r="Q23" s="1"/>
      <c r="R23" s="1"/>
      <c r="S23" s="1"/>
      <c r="T23" s="1"/>
      <c r="U23" s="1"/>
    </row>
    <row r="24" spans="1:21" x14ac:dyDescent="0.2">
      <c r="A24" s="4">
        <v>19</v>
      </c>
      <c r="B24" s="5"/>
      <c r="C24" s="1"/>
      <c r="D24" s="1"/>
      <c r="E24" s="1"/>
      <c r="F24" s="1"/>
      <c r="G24" s="1"/>
      <c r="H24" s="1"/>
      <c r="I24" s="1"/>
      <c r="J24" s="1"/>
      <c r="K24" s="1"/>
      <c r="L24" s="1"/>
      <c r="M24" s="1"/>
      <c r="N24" s="1"/>
      <c r="O24" s="1"/>
      <c r="P24" s="1"/>
      <c r="Q24" s="1"/>
      <c r="R24" s="1"/>
      <c r="S24" s="1"/>
      <c r="T24" s="1"/>
      <c r="U24" s="1"/>
    </row>
    <row r="25" spans="1:21" x14ac:dyDescent="0.2">
      <c r="A25" s="4">
        <v>20</v>
      </c>
      <c r="B25" s="5"/>
      <c r="C25" s="1"/>
      <c r="D25" s="1"/>
      <c r="E25" s="1"/>
      <c r="F25" s="1"/>
      <c r="G25" s="1"/>
      <c r="H25" s="1"/>
      <c r="I25" s="1"/>
      <c r="J25" s="1"/>
      <c r="K25" s="1"/>
      <c r="L25" s="1"/>
      <c r="M25" s="1"/>
      <c r="N25" s="1"/>
      <c r="O25" s="1"/>
      <c r="P25" s="1"/>
      <c r="Q25" s="1"/>
      <c r="R25" s="1"/>
      <c r="S25" s="1"/>
      <c r="T25" s="1"/>
      <c r="U25" s="1"/>
    </row>
    <row r="29" spans="1:21" x14ac:dyDescent="0.2">
      <c r="C29" s="12"/>
      <c r="D29" t="s">
        <v>504</v>
      </c>
    </row>
    <row r="30" spans="1:21" x14ac:dyDescent="0.2">
      <c r="C30" s="13"/>
      <c r="D30" t="s">
        <v>24</v>
      </c>
    </row>
  </sheetData>
  <mergeCells count="1">
    <mergeCell ref="N4:U4"/>
  </mergeCells>
  <dataValidations count="1">
    <dataValidation type="list" allowBlank="1" showInputMessage="1" showErrorMessage="1" sqref="L6:L25" xr:uid="{00000000-0002-0000-0300-000000000000}">
      <formula1>"En preparación, Enviado, Aceptado, En prensa, Publicado"</formula1>
    </dataValidation>
  </dataValidations>
  <hyperlinks>
    <hyperlink ref="U6" r:id="rId1" xr:uid="{00000000-0004-0000-0300-000000000000}"/>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5D4F8-A998-41E0-BA8A-7AA59A3CFECA}">
  <dimension ref="A1:I53"/>
  <sheetViews>
    <sheetView topLeftCell="A34" zoomScale="90" zoomScaleNormal="90" workbookViewId="0">
      <selection activeCell="C45" sqref="C45"/>
    </sheetView>
  </sheetViews>
  <sheetFormatPr baseColWidth="10" defaultRowHeight="15" x14ac:dyDescent="0.2"/>
  <cols>
    <col min="2" max="2" width="32.5" customWidth="1"/>
    <col min="3" max="3" width="25.83203125" customWidth="1"/>
    <col min="4" max="4" width="13.33203125" customWidth="1"/>
    <col min="5" max="5" width="28.6640625" customWidth="1"/>
    <col min="7" max="7" width="15.6640625" customWidth="1"/>
    <col min="8" max="8" width="12.1640625" customWidth="1"/>
    <col min="9" max="9" width="15.33203125" customWidth="1"/>
  </cols>
  <sheetData>
    <row r="1" spans="1:5" ht="19" x14ac:dyDescent="0.25">
      <c r="A1" s="228" t="s">
        <v>719</v>
      </c>
    </row>
    <row r="3" spans="1:5" x14ac:dyDescent="0.2">
      <c r="A3" s="214" t="s">
        <v>555</v>
      </c>
      <c r="B3" s="214" t="s">
        <v>556</v>
      </c>
      <c r="C3" s="214" t="s">
        <v>557</v>
      </c>
      <c r="D3" s="214" t="s">
        <v>558</v>
      </c>
      <c r="E3" s="214" t="s">
        <v>559</v>
      </c>
    </row>
    <row r="4" spans="1:5" ht="36" x14ac:dyDescent="0.2">
      <c r="A4" s="215" t="s">
        <v>560</v>
      </c>
      <c r="B4" s="216" t="s">
        <v>561</v>
      </c>
      <c r="C4" s="217" t="s">
        <v>562</v>
      </c>
      <c r="D4" s="216" t="s">
        <v>563</v>
      </c>
      <c r="E4" s="218" t="s">
        <v>564</v>
      </c>
    </row>
    <row r="5" spans="1:5" ht="50" customHeight="1" x14ac:dyDescent="0.2">
      <c r="A5" s="215" t="s">
        <v>565</v>
      </c>
      <c r="B5" s="216" t="s">
        <v>566</v>
      </c>
      <c r="C5" s="217" t="s">
        <v>567</v>
      </c>
      <c r="D5" s="216" t="s">
        <v>568</v>
      </c>
      <c r="E5" s="218" t="s">
        <v>569</v>
      </c>
    </row>
    <row r="6" spans="1:5" ht="39" customHeight="1" x14ac:dyDescent="0.2">
      <c r="A6" s="215" t="s">
        <v>570</v>
      </c>
      <c r="B6" s="216" t="s">
        <v>571</v>
      </c>
      <c r="C6" s="217" t="s">
        <v>572</v>
      </c>
      <c r="D6" s="216" t="s">
        <v>573</v>
      </c>
      <c r="E6" s="218" t="s">
        <v>574</v>
      </c>
    </row>
    <row r="7" spans="1:5" ht="36.5" customHeight="1" x14ac:dyDescent="0.2">
      <c r="A7" s="215" t="s">
        <v>575</v>
      </c>
      <c r="B7" s="219" t="s">
        <v>576</v>
      </c>
      <c r="C7" s="220" t="s">
        <v>577</v>
      </c>
      <c r="D7" s="219" t="s">
        <v>578</v>
      </c>
      <c r="E7" s="218" t="s">
        <v>579</v>
      </c>
    </row>
    <row r="8" spans="1:5" ht="37" customHeight="1" x14ac:dyDescent="0.2">
      <c r="A8" s="215" t="s">
        <v>580</v>
      </c>
      <c r="B8" s="216" t="s">
        <v>581</v>
      </c>
      <c r="C8" s="217" t="s">
        <v>582</v>
      </c>
      <c r="D8" s="216" t="s">
        <v>583</v>
      </c>
      <c r="E8" s="218" t="s">
        <v>584</v>
      </c>
    </row>
    <row r="9" spans="1:5" ht="131.5" customHeight="1" x14ac:dyDescent="0.2">
      <c r="A9" s="215" t="s">
        <v>585</v>
      </c>
      <c r="B9" s="216" t="s">
        <v>586</v>
      </c>
      <c r="C9" s="216" t="s">
        <v>587</v>
      </c>
      <c r="D9" s="216" t="s">
        <v>588</v>
      </c>
      <c r="E9" s="218" t="s">
        <v>589</v>
      </c>
    </row>
    <row r="10" spans="1:5" ht="43.5" customHeight="1" x14ac:dyDescent="0.2">
      <c r="A10" s="215" t="s">
        <v>590</v>
      </c>
      <c r="B10" s="216" t="s">
        <v>591</v>
      </c>
      <c r="C10" s="216" t="s">
        <v>592</v>
      </c>
      <c r="D10" s="216" t="s">
        <v>593</v>
      </c>
      <c r="E10" s="218" t="s">
        <v>594</v>
      </c>
    </row>
    <row r="11" spans="1:5" ht="52" customHeight="1" x14ac:dyDescent="0.2">
      <c r="A11" s="215" t="s">
        <v>595</v>
      </c>
      <c r="B11" s="216" t="s">
        <v>596</v>
      </c>
      <c r="C11" s="217" t="s">
        <v>597</v>
      </c>
      <c r="D11" s="216" t="s">
        <v>598</v>
      </c>
      <c r="E11" s="218" t="s">
        <v>599</v>
      </c>
    </row>
    <row r="12" spans="1:5" ht="175.5" customHeight="1" x14ac:dyDescent="0.2">
      <c r="A12" s="215" t="s">
        <v>600</v>
      </c>
      <c r="B12" s="216" t="s">
        <v>601</v>
      </c>
      <c r="C12" s="216" t="s">
        <v>602</v>
      </c>
      <c r="D12" s="216" t="s">
        <v>603</v>
      </c>
      <c r="E12" s="218" t="s">
        <v>604</v>
      </c>
    </row>
    <row r="13" spans="1:5" ht="59" customHeight="1" x14ac:dyDescent="0.2">
      <c r="A13" s="215" t="s">
        <v>605</v>
      </c>
      <c r="B13" s="216" t="s">
        <v>714</v>
      </c>
      <c r="C13" s="216" t="s">
        <v>606</v>
      </c>
      <c r="D13" s="216" t="s">
        <v>607</v>
      </c>
      <c r="E13" s="218" t="s">
        <v>608</v>
      </c>
    </row>
    <row r="14" spans="1:5" ht="179" customHeight="1" x14ac:dyDescent="0.2">
      <c r="A14" s="215" t="s">
        <v>609</v>
      </c>
      <c r="B14" s="216" t="s">
        <v>610</v>
      </c>
      <c r="C14" s="216" t="s">
        <v>611</v>
      </c>
      <c r="D14" s="216" t="s">
        <v>612</v>
      </c>
      <c r="E14" s="218" t="s">
        <v>613</v>
      </c>
    </row>
    <row r="15" spans="1:5" ht="281.5" customHeight="1" x14ac:dyDescent="0.2">
      <c r="A15" s="215" t="s">
        <v>614</v>
      </c>
      <c r="B15" s="216" t="s">
        <v>615</v>
      </c>
      <c r="C15" s="216" t="s">
        <v>616</v>
      </c>
      <c r="D15" s="216" t="s">
        <v>617</v>
      </c>
      <c r="E15" s="218" t="s">
        <v>618</v>
      </c>
    </row>
    <row r="16" spans="1:5" ht="48" x14ac:dyDescent="0.2">
      <c r="A16" s="215" t="s">
        <v>619</v>
      </c>
      <c r="B16" s="216" t="s">
        <v>620</v>
      </c>
      <c r="C16" s="216" t="s">
        <v>621</v>
      </c>
      <c r="D16" s="216" t="s">
        <v>622</v>
      </c>
      <c r="E16" s="218" t="s">
        <v>623</v>
      </c>
    </row>
    <row r="17" spans="1:5" ht="57.5" customHeight="1" x14ac:dyDescent="0.2">
      <c r="A17" s="215" t="s">
        <v>624</v>
      </c>
      <c r="B17" s="216" t="s">
        <v>625</v>
      </c>
      <c r="C17" s="216" t="s">
        <v>626</v>
      </c>
      <c r="D17" s="216" t="s">
        <v>627</v>
      </c>
      <c r="E17" s="218" t="s">
        <v>628</v>
      </c>
    </row>
    <row r="18" spans="1:5" ht="57" customHeight="1" x14ac:dyDescent="0.2">
      <c r="A18" s="215" t="s">
        <v>629</v>
      </c>
      <c r="B18" s="216" t="s">
        <v>630</v>
      </c>
      <c r="C18" s="216" t="s">
        <v>631</v>
      </c>
      <c r="D18" s="216" t="s">
        <v>632</v>
      </c>
      <c r="E18" s="218" t="s">
        <v>633</v>
      </c>
    </row>
    <row r="19" spans="1:5" ht="66" customHeight="1" x14ac:dyDescent="0.2">
      <c r="A19" s="215" t="s">
        <v>634</v>
      </c>
      <c r="B19" s="216" t="s">
        <v>635</v>
      </c>
      <c r="C19" s="216" t="s">
        <v>636</v>
      </c>
      <c r="D19" s="216" t="s">
        <v>637</v>
      </c>
      <c r="E19" s="218" t="s">
        <v>638</v>
      </c>
    </row>
    <row r="20" spans="1:5" ht="45.5" customHeight="1" x14ac:dyDescent="0.2">
      <c r="A20" s="215" t="s">
        <v>639</v>
      </c>
      <c r="B20" s="216" t="s">
        <v>640</v>
      </c>
      <c r="C20" s="216" t="s">
        <v>641</v>
      </c>
      <c r="D20" s="216" t="s">
        <v>642</v>
      </c>
      <c r="E20" s="218" t="s">
        <v>643</v>
      </c>
    </row>
    <row r="21" spans="1:5" ht="87" customHeight="1" x14ac:dyDescent="0.2">
      <c r="A21" s="215" t="s">
        <v>644</v>
      </c>
      <c r="B21" s="216" t="s">
        <v>645</v>
      </c>
      <c r="C21" s="217" t="s">
        <v>646</v>
      </c>
      <c r="D21" s="216" t="s">
        <v>647</v>
      </c>
      <c r="E21" s="218" t="s">
        <v>648</v>
      </c>
    </row>
    <row r="22" spans="1:5" ht="104" customHeight="1" x14ac:dyDescent="0.2">
      <c r="A22" s="215" t="s">
        <v>649</v>
      </c>
      <c r="B22" s="216" t="s">
        <v>650</v>
      </c>
      <c r="C22" s="216" t="s">
        <v>651</v>
      </c>
      <c r="D22" s="216" t="s">
        <v>652</v>
      </c>
      <c r="E22" s="218" t="s">
        <v>653</v>
      </c>
    </row>
    <row r="23" spans="1:5" ht="61.5" customHeight="1" x14ac:dyDescent="0.2">
      <c r="A23" s="215" t="s">
        <v>654</v>
      </c>
      <c r="B23" s="216" t="s">
        <v>655</v>
      </c>
      <c r="C23" s="216" t="s">
        <v>656</v>
      </c>
      <c r="D23" s="216" t="s">
        <v>657</v>
      </c>
      <c r="E23" s="218" t="s">
        <v>658</v>
      </c>
    </row>
    <row r="24" spans="1:5" ht="50" customHeight="1" x14ac:dyDescent="0.2">
      <c r="A24" s="215" t="s">
        <v>659</v>
      </c>
      <c r="B24" s="216" t="s">
        <v>660</v>
      </c>
      <c r="C24" s="217" t="s">
        <v>661</v>
      </c>
      <c r="D24" s="216" t="s">
        <v>578</v>
      </c>
      <c r="E24" s="218" t="s">
        <v>662</v>
      </c>
    </row>
    <row r="25" spans="1:5" ht="76" customHeight="1" x14ac:dyDescent="0.2">
      <c r="A25" s="215" t="s">
        <v>663</v>
      </c>
      <c r="B25" s="216" t="s">
        <v>664</v>
      </c>
      <c r="C25" s="217" t="s">
        <v>665</v>
      </c>
      <c r="D25" s="216" t="s">
        <v>666</v>
      </c>
      <c r="E25" s="218" t="s">
        <v>667</v>
      </c>
    </row>
    <row r="26" spans="1:5" ht="80.5" customHeight="1" x14ac:dyDescent="0.2">
      <c r="A26" s="215" t="s">
        <v>668</v>
      </c>
      <c r="B26" s="216" t="s">
        <v>669</v>
      </c>
      <c r="C26" s="216" t="s">
        <v>670</v>
      </c>
      <c r="D26" s="216" t="s">
        <v>671</v>
      </c>
      <c r="E26" s="218" t="s">
        <v>672</v>
      </c>
    </row>
    <row r="27" spans="1:5" ht="106.5" customHeight="1" x14ac:dyDescent="0.2">
      <c r="A27" s="215" t="s">
        <v>673</v>
      </c>
      <c r="B27" s="216" t="s">
        <v>674</v>
      </c>
      <c r="C27" s="216" t="s">
        <v>675</v>
      </c>
      <c r="D27" s="216" t="s">
        <v>676</v>
      </c>
      <c r="E27" s="218" t="s">
        <v>677</v>
      </c>
    </row>
    <row r="28" spans="1:5" ht="89" customHeight="1" x14ac:dyDescent="0.2">
      <c r="A28" s="215" t="s">
        <v>678</v>
      </c>
      <c r="B28" s="216" t="s">
        <v>679</v>
      </c>
      <c r="C28" s="216" t="s">
        <v>680</v>
      </c>
      <c r="D28" s="216" t="s">
        <v>681</v>
      </c>
      <c r="E28" s="218" t="s">
        <v>682</v>
      </c>
    </row>
    <row r="29" spans="1:5" ht="78.5" customHeight="1" x14ac:dyDescent="0.2">
      <c r="A29" s="215" t="s">
        <v>683</v>
      </c>
      <c r="B29" s="216" t="s">
        <v>684</v>
      </c>
      <c r="C29" s="217" t="s">
        <v>685</v>
      </c>
      <c r="D29" s="216" t="s">
        <v>686</v>
      </c>
      <c r="E29" s="218" t="s">
        <v>687</v>
      </c>
    </row>
    <row r="30" spans="1:5" ht="59.5" customHeight="1" x14ac:dyDescent="0.2">
      <c r="A30" s="215" t="s">
        <v>688</v>
      </c>
      <c r="B30" s="216" t="s">
        <v>689</v>
      </c>
      <c r="C30" s="216" t="s">
        <v>690</v>
      </c>
      <c r="D30" s="216" t="s">
        <v>691</v>
      </c>
      <c r="E30" s="218" t="s">
        <v>692</v>
      </c>
    </row>
    <row r="31" spans="1:5" ht="51" customHeight="1" x14ac:dyDescent="0.2">
      <c r="A31" s="215" t="s">
        <v>693</v>
      </c>
      <c r="B31" s="216" t="s">
        <v>694</v>
      </c>
      <c r="C31" s="216" t="s">
        <v>695</v>
      </c>
      <c r="D31" s="216" t="s">
        <v>696</v>
      </c>
      <c r="E31" s="218" t="s">
        <v>697</v>
      </c>
    </row>
    <row r="32" spans="1:5" ht="56" customHeight="1" x14ac:dyDescent="0.2">
      <c r="A32" s="215" t="s">
        <v>698</v>
      </c>
      <c r="B32" s="216" t="s">
        <v>699</v>
      </c>
      <c r="C32" s="217" t="s">
        <v>700</v>
      </c>
      <c r="D32" s="219" t="s">
        <v>701</v>
      </c>
      <c r="E32" s="218" t="s">
        <v>702</v>
      </c>
    </row>
    <row r="33" spans="1:9" ht="227.5" customHeight="1" x14ac:dyDescent="0.2">
      <c r="A33" s="215" t="s">
        <v>703</v>
      </c>
      <c r="B33" s="216" t="s">
        <v>704</v>
      </c>
      <c r="C33" s="216" t="s">
        <v>705</v>
      </c>
      <c r="D33" s="219" t="s">
        <v>706</v>
      </c>
      <c r="E33" s="218" t="s">
        <v>707</v>
      </c>
    </row>
    <row r="34" spans="1:9" ht="237.5" customHeight="1" x14ac:dyDescent="0.2">
      <c r="A34" s="215" t="s">
        <v>708</v>
      </c>
      <c r="B34" s="216" t="s">
        <v>709</v>
      </c>
      <c r="C34" s="216" t="s">
        <v>710</v>
      </c>
      <c r="D34" s="216" t="s">
        <v>711</v>
      </c>
      <c r="E34" s="218" t="s">
        <v>712</v>
      </c>
    </row>
    <row r="37" spans="1:9" ht="21" customHeight="1" x14ac:dyDescent="0.2">
      <c r="A37" s="456" t="s">
        <v>720</v>
      </c>
      <c r="B37" s="456"/>
    </row>
    <row r="39" spans="1:9" x14ac:dyDescent="0.2">
      <c r="A39" s="214" t="s">
        <v>555</v>
      </c>
      <c r="B39" s="214" t="s">
        <v>556</v>
      </c>
      <c r="C39" s="214" t="s">
        <v>557</v>
      </c>
      <c r="D39" s="214" t="s">
        <v>558</v>
      </c>
      <c r="E39" s="214" t="s">
        <v>559</v>
      </c>
    </row>
    <row r="40" spans="1:9" ht="108" x14ac:dyDescent="0.2">
      <c r="A40" s="215" t="s">
        <v>560</v>
      </c>
      <c r="B40" s="216" t="s">
        <v>721</v>
      </c>
      <c r="C40" s="216" t="s">
        <v>722</v>
      </c>
      <c r="D40" s="216" t="s">
        <v>723</v>
      </c>
      <c r="E40" s="229" t="s">
        <v>724</v>
      </c>
    </row>
    <row r="41" spans="1:9" ht="25.5" customHeight="1" x14ac:dyDescent="0.2">
      <c r="A41" s="215" t="s">
        <v>565</v>
      </c>
      <c r="B41" s="216" t="s">
        <v>732</v>
      </c>
      <c r="C41" s="217" t="s">
        <v>725</v>
      </c>
      <c r="D41" s="216" t="s">
        <v>726</v>
      </c>
      <c r="E41" s="229" t="s">
        <v>727</v>
      </c>
    </row>
    <row r="42" spans="1:9" ht="36" x14ac:dyDescent="0.2">
      <c r="A42" s="215" t="s">
        <v>570</v>
      </c>
      <c r="B42" s="216" t="s">
        <v>728</v>
      </c>
      <c r="C42" s="216" t="s">
        <v>729</v>
      </c>
      <c r="D42" s="216" t="s">
        <v>730</v>
      </c>
      <c r="E42" s="229" t="s">
        <v>731</v>
      </c>
    </row>
    <row r="43" spans="1:9" ht="24" x14ac:dyDescent="0.2">
      <c r="A43" s="231">
        <v>4</v>
      </c>
      <c r="B43" s="230" t="s">
        <v>734</v>
      </c>
      <c r="C43" s="230" t="s">
        <v>739</v>
      </c>
      <c r="D43" s="230" t="s">
        <v>736</v>
      </c>
      <c r="E43" s="232" t="s">
        <v>740</v>
      </c>
    </row>
    <row r="46" spans="1:9" x14ac:dyDescent="0.2">
      <c r="G46" s="457">
        <v>2024</v>
      </c>
      <c r="H46" s="458"/>
      <c r="I46" s="458"/>
    </row>
    <row r="47" spans="1:9" x14ac:dyDescent="0.2">
      <c r="F47" s="233" t="s">
        <v>7</v>
      </c>
      <c r="G47" s="233" t="s">
        <v>8</v>
      </c>
      <c r="H47" s="233" t="s">
        <v>9</v>
      </c>
      <c r="I47" s="71" t="s">
        <v>746</v>
      </c>
    </row>
    <row r="48" spans="1:9" x14ac:dyDescent="0.2">
      <c r="F48" s="234" t="s">
        <v>12</v>
      </c>
      <c r="G48" s="234">
        <v>2</v>
      </c>
      <c r="H48" s="234">
        <v>1</v>
      </c>
      <c r="I48" s="15">
        <v>0</v>
      </c>
    </row>
    <row r="49" spans="6:9" x14ac:dyDescent="0.2">
      <c r="F49" s="234" t="s">
        <v>13</v>
      </c>
      <c r="G49" s="234">
        <v>12</v>
      </c>
      <c r="H49" s="234">
        <v>8</v>
      </c>
      <c r="I49" s="15">
        <v>4</v>
      </c>
    </row>
    <row r="50" spans="6:9" x14ac:dyDescent="0.2">
      <c r="F50" s="234" t="s">
        <v>14</v>
      </c>
      <c r="G50" s="234">
        <v>7</v>
      </c>
      <c r="H50" s="234">
        <v>5</v>
      </c>
      <c r="I50" s="15">
        <v>0</v>
      </c>
    </row>
    <row r="51" spans="6:9" x14ac:dyDescent="0.2">
      <c r="F51" s="234" t="s">
        <v>15</v>
      </c>
      <c r="G51" s="234">
        <v>6</v>
      </c>
      <c r="H51" s="234">
        <v>2</v>
      </c>
      <c r="I51" s="15">
        <v>1</v>
      </c>
    </row>
    <row r="52" spans="6:9" x14ac:dyDescent="0.2">
      <c r="F52" s="234" t="s">
        <v>16</v>
      </c>
      <c r="G52" s="234">
        <v>4</v>
      </c>
      <c r="H52" s="234">
        <v>1</v>
      </c>
      <c r="I52" s="15">
        <v>3</v>
      </c>
    </row>
    <row r="53" spans="6:9" x14ac:dyDescent="0.2">
      <c r="F53" s="233" t="s">
        <v>17</v>
      </c>
      <c r="G53" s="233">
        <f t="shared" ref="G53:I53" si="0">SUM(G48:G52)</f>
        <v>31</v>
      </c>
      <c r="H53" s="233">
        <f t="shared" si="0"/>
        <v>17</v>
      </c>
      <c r="I53" s="71">
        <f t="shared" si="0"/>
        <v>8</v>
      </c>
    </row>
  </sheetData>
  <mergeCells count="2">
    <mergeCell ref="A37:B37"/>
    <mergeCell ref="G46:I46"/>
  </mergeCells>
  <hyperlinks>
    <hyperlink ref="E4" r:id="rId1" display="https://doi.org/10.3390/mps7020024" xr:uid="{62CF016B-B0C7-4F77-9B8E-B79AD11146DE}"/>
    <hyperlink ref="E5" r:id="rId2" display="https://doi.org/10.3390/diagnostics14060619" xr:uid="{45D38BA5-F334-48FC-8561-38AF8918D350}"/>
    <hyperlink ref="E6" r:id="rId3" display="https://doi.org/10.3389/fpubh.2023.1302640" xr:uid="{15986AED-3F42-4968-B78D-F3EDFB34BC96}"/>
    <hyperlink ref="E7" r:id="rId4" display="http://doi.org/10.5867/medwave.2024.01.2771" xr:uid="{9E6F7507-EA53-4327-9606-CE34EC441DBE}"/>
    <hyperlink ref="E8" r:id="rId5" display="https://doi.org/10.3389/fonc.2024.1356014" xr:uid="{84EFEE8D-4816-4D21-A7CB-AE92AA14E418}"/>
    <hyperlink ref="E9" r:id="rId6" display="https://doi.org/10.3390/ijms25094695" xr:uid="{FB406F9C-BDD4-4DA5-B432-6554D7618511}"/>
    <hyperlink ref="E10" r:id="rId7" display="https://doi.org/10.1038/s41598-024-58920-z" xr:uid="{537D7655-A37F-4F76-9CA2-D97B048F4DC9}"/>
    <hyperlink ref="E11" r:id="rId8" display="https://doi.org/10.1016/j.jcpo.2024.100470" xr:uid="{9FB0F245-7763-4F30-B044-AE300887CDA3}"/>
    <hyperlink ref="E12" r:id="rId9" display="https://doi.org/10.1016/j.gastrohep.2024.01.008" xr:uid="{6EC02F23-2D0E-47E3-9848-6C3496A6ABA3}"/>
    <hyperlink ref="E13" r:id="rId10" display="https://doi.org/10.3390/ijms25063332" xr:uid="{634324B6-A648-4FDC-B3B4-AC0797CB3F75}"/>
    <hyperlink ref="E14" r:id="rId11" display="https://doi.org/10.1136/gutjnl-2023-331059" xr:uid="{EAFD2B72-444B-4D6C-93EF-D3D41AD58F88}"/>
    <hyperlink ref="E15" r:id="rId12" display="https://doi.org/10.1002/ueg2.12605" xr:uid="{E0282344-82F8-4213-8A4C-04263B92E315}"/>
    <hyperlink ref="E16" r:id="rId13" display="https://doi.org/10.3390/ijms25126740" xr:uid="{24A79286-5E58-425E-8186-AE6DCADAE5D5}"/>
    <hyperlink ref="E17" r:id="rId14" display="https://doi.org/10.1186/s13023-024-03249-z" xr:uid="{719DFB0D-4714-4AC4-8CAF-877D72BB96F5}"/>
    <hyperlink ref="E18" r:id="rId15" display="https://doi.org/10.1080/23288604.2024.2314482" xr:uid="{A1D6856D-D0E8-41DF-8C94-AD70A5DB6CBC}"/>
    <hyperlink ref="E19" r:id="rId16" display="https://doi.org/10.3390/biomedicines12040728" xr:uid="{10955D2B-73EF-41A0-A972-A049A98DDCAF}"/>
    <hyperlink ref="E20" r:id="rId17" display="https://doi.org/10.3389/fphar.2024.1376638" xr:uid="{52F5537A-6019-4047-A0AB-3C489A7FF2C2}"/>
    <hyperlink ref="E21" r:id="rId18" display="https://doi.org/10.3390/pharmaceutics16040561" xr:uid="{81CC05B4-5962-4D4F-A2DD-BE114463E0F7}"/>
    <hyperlink ref="E22" r:id="rId19" display="https://doi.org/10.1200/GO.24.00090" xr:uid="{343988F3-5668-4F02-81C1-38D73E35848F}"/>
    <hyperlink ref="E23" r:id="rId20" display="https://doi.org/10.1080/19490976.2024.2379440" xr:uid="{6371F2F9-941B-436E-82B1-31BBCB5D4AA7}"/>
    <hyperlink ref="E24" r:id="rId21" display="http://doi.org/10.5867/medwave.2024.09.2801" xr:uid="{A1669CE9-2CEE-49E1-A05C-EB367F452AE0}"/>
    <hyperlink ref="E25" r:id="rId22" display="https://doi.org/10.1016/j.puhe.2024.08.006" xr:uid="{ACB34250-25D7-412D-827D-DCA9EB6EE285}"/>
    <hyperlink ref="E26" r:id="rId23" display="https://doi.org/10.3390/cancers16010080" xr:uid="{DF1DD0E8-41EA-4B4C-BEF8-CDFAF9553147}"/>
    <hyperlink ref="E27" r:id="rId24" display="https://doi.org/10.2144/fsoa-2023-0032" xr:uid="{B6B68E87-E6AE-42DD-B815-E90180EB61F5}"/>
    <hyperlink ref="E28" r:id="rId25" display="https://doi.org/10.1002/ijc.35138" xr:uid="{1B508819-386B-47C7-8C80-C20AA0A13A53}"/>
    <hyperlink ref="E29" r:id="rId26" display="http://dx.doi.org/10.2471/BLT.24.291783" xr:uid="{93961AB7-B5E3-43D2-B803-A5C2BBCAA85B}"/>
    <hyperlink ref="E30" r:id="rId27" display="http://dx.doi.org/10.4067/s0034-98872024000100007" xr:uid="{FACE33CE-D97A-4BD6-B0C2-C89494DBBA81}"/>
    <hyperlink ref="E31" r:id="rId28" display="https://doi.org/10.1080/13669877.2024.2387355" xr:uid="{31C6DF6C-3D45-4667-8D0A-39B5D001A516}"/>
    <hyperlink ref="E32" r:id="rId29" display="https://doi.org/10.1016/j.arcmed.2024.103105" xr:uid="{0E7651F7-3549-4346-9D0A-15F7016AEFB3}"/>
    <hyperlink ref="E33" r:id="rId30" display="https://doi.org/10.1016/j.jpainsymman.2024.03.027" xr:uid="{05CBE483-A3D3-4495-AE61-E13D87441730}"/>
    <hyperlink ref="E34" r:id="rId31" display="https://doi.org/10.1186/s12885-024-12737-1" xr:uid="{EB771728-6392-41A1-9486-345D11C192ED}"/>
    <hyperlink ref="E40" r:id="rId32" display="https://doi.org/10.47892/rgp.2024.441.1624" xr:uid="{58FF4A8E-CA43-4A6B-843F-24BDB0E4BEDD}"/>
    <hyperlink ref="E41" r:id="rId33" display="https://doi.org/10.7704/kjhugr.2024.0017" xr:uid="{CAEAA4A1-A918-4D44-9A42-9FC82056748B}"/>
    <hyperlink ref="E42" r:id="rId34" display="https://doi.org/10.1007/978-3-031-75144-8_5" xr:uid="{FD1B63C2-1967-42A7-9720-A0949C77FFC8}"/>
    <hyperlink ref="E43" r:id="rId35" xr:uid="{F9DB1088-58DE-4759-A275-F8AABF912D0F}"/>
  </hyperlinks>
  <pageMargins left="0.7" right="0.7" top="0.75" bottom="0.75" header="0.3" footer="0.3"/>
  <pageSetup orientation="portrait" horizontalDpi="0" verticalDpi="0" r:id="rId3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U29"/>
  <sheetViews>
    <sheetView zoomScale="70" zoomScaleNormal="70" workbookViewId="0">
      <selection activeCell="C8" sqref="C8"/>
    </sheetView>
  </sheetViews>
  <sheetFormatPr baseColWidth="10" defaultColWidth="11.5" defaultRowHeight="15" x14ac:dyDescent="0.2"/>
  <cols>
    <col min="1" max="2" width="5.83203125" style="4" customWidth="1"/>
    <col min="3" max="3" width="40.6640625" customWidth="1"/>
    <col min="4" max="4" width="29.83203125" customWidth="1"/>
    <col min="5" max="5" width="28.5" bestFit="1" customWidth="1"/>
    <col min="6" max="6" width="35.33203125" bestFit="1" customWidth="1"/>
    <col min="7" max="9" width="34.83203125" customWidth="1"/>
    <col min="10" max="10" width="15.1640625" bestFit="1" customWidth="1"/>
    <col min="11" max="11" width="21.5" customWidth="1"/>
    <col min="12" max="12" width="14.1640625" customWidth="1"/>
    <col min="13" max="13" width="19.6640625" customWidth="1"/>
    <col min="14" max="14" width="21.5" customWidth="1"/>
    <col min="15" max="17" width="18.83203125" customWidth="1"/>
    <col min="18" max="18" width="14.5" customWidth="1"/>
    <col min="19" max="19" width="16" customWidth="1"/>
    <col min="20" max="20" width="14.1640625" customWidth="1"/>
    <col min="21" max="21" width="26.5" customWidth="1"/>
  </cols>
  <sheetData>
    <row r="2" spans="1:21" ht="26" x14ac:dyDescent="0.3">
      <c r="C2" s="3" t="s">
        <v>488</v>
      </c>
    </row>
    <row r="3" spans="1:21" ht="15.75" customHeight="1" x14ac:dyDescent="0.2">
      <c r="C3" s="9" t="s">
        <v>489</v>
      </c>
      <c r="M3" s="9" t="s">
        <v>23</v>
      </c>
    </row>
    <row r="4" spans="1:21" x14ac:dyDescent="0.2">
      <c r="M4" s="453" t="s">
        <v>490</v>
      </c>
      <c r="N4" s="454"/>
      <c r="O4" s="454"/>
      <c r="P4" s="454"/>
      <c r="Q4" s="454"/>
      <c r="R4" s="454"/>
      <c r="S4" s="454"/>
      <c r="T4" s="454"/>
      <c r="U4" s="455"/>
    </row>
    <row r="5" spans="1:21" ht="48" x14ac:dyDescent="0.2">
      <c r="A5" s="6" t="s">
        <v>29</v>
      </c>
      <c r="B5" s="10" t="s">
        <v>7</v>
      </c>
      <c r="C5" s="10" t="s">
        <v>491</v>
      </c>
      <c r="D5" s="10" t="s">
        <v>33</v>
      </c>
      <c r="E5" s="10" t="s">
        <v>492</v>
      </c>
      <c r="F5" s="10" t="s">
        <v>42</v>
      </c>
      <c r="G5" s="10" t="s">
        <v>493</v>
      </c>
      <c r="H5" s="10" t="s">
        <v>494</v>
      </c>
      <c r="I5" s="10" t="s">
        <v>495</v>
      </c>
      <c r="J5" s="11" t="s">
        <v>44</v>
      </c>
      <c r="K5" s="11" t="s">
        <v>45</v>
      </c>
      <c r="L5" s="10" t="s">
        <v>496</v>
      </c>
      <c r="M5" s="7" t="s">
        <v>497</v>
      </c>
      <c r="N5" s="7" t="s">
        <v>498</v>
      </c>
      <c r="O5" s="7" t="s">
        <v>499</v>
      </c>
      <c r="P5" s="7" t="s">
        <v>500</v>
      </c>
      <c r="Q5" s="7" t="s">
        <v>501</v>
      </c>
      <c r="R5" s="7" t="s">
        <v>502</v>
      </c>
      <c r="S5" s="7" t="s">
        <v>55</v>
      </c>
      <c r="T5" s="7" t="s">
        <v>59</v>
      </c>
      <c r="U5" s="8" t="s">
        <v>503</v>
      </c>
    </row>
    <row r="6" spans="1:21" x14ac:dyDescent="0.2">
      <c r="A6" s="4">
        <v>1</v>
      </c>
      <c r="B6" s="5"/>
      <c r="C6" s="2"/>
      <c r="D6" s="2"/>
      <c r="E6" s="2"/>
      <c r="F6" s="2"/>
      <c r="G6" s="2"/>
      <c r="H6" s="2"/>
      <c r="I6" s="2"/>
      <c r="J6" s="1"/>
      <c r="K6" s="1"/>
      <c r="L6" s="2"/>
      <c r="M6" s="2"/>
      <c r="N6" s="2"/>
      <c r="O6" s="2"/>
      <c r="P6" s="2"/>
      <c r="Q6" s="2"/>
      <c r="R6" s="2"/>
      <c r="S6" s="1"/>
      <c r="T6" s="2"/>
      <c r="U6" s="1"/>
    </row>
    <row r="7" spans="1:21" x14ac:dyDescent="0.2">
      <c r="A7" s="4">
        <v>2</v>
      </c>
      <c r="B7" s="5"/>
      <c r="C7" s="2"/>
      <c r="D7" s="2"/>
      <c r="E7" s="2"/>
      <c r="F7" s="2"/>
      <c r="G7" s="2"/>
      <c r="H7" s="2"/>
      <c r="I7" s="2"/>
      <c r="J7" s="1"/>
      <c r="K7" s="1"/>
      <c r="L7" s="2"/>
      <c r="M7" s="2"/>
      <c r="N7" s="2"/>
      <c r="O7" s="2"/>
      <c r="P7" s="2"/>
      <c r="Q7" s="2"/>
      <c r="R7" s="2"/>
      <c r="S7" s="1"/>
      <c r="T7" s="2"/>
      <c r="U7" s="1"/>
    </row>
    <row r="8" spans="1:21" x14ac:dyDescent="0.2">
      <c r="A8" s="4">
        <v>3</v>
      </c>
      <c r="B8" s="5"/>
      <c r="C8" s="2"/>
      <c r="D8" s="2"/>
      <c r="E8" s="2"/>
      <c r="F8" s="2"/>
      <c r="G8" s="2"/>
      <c r="H8" s="2"/>
      <c r="I8" s="2"/>
      <c r="J8" s="1"/>
      <c r="K8" s="1"/>
      <c r="L8" s="2"/>
      <c r="M8" s="2"/>
      <c r="N8" s="2"/>
      <c r="O8" s="2"/>
      <c r="P8" s="2"/>
      <c r="Q8" s="2"/>
      <c r="R8" s="2"/>
      <c r="S8" s="1"/>
      <c r="T8" s="2"/>
      <c r="U8" s="1"/>
    </row>
    <row r="9" spans="1:21" x14ac:dyDescent="0.2">
      <c r="A9" s="4">
        <v>4</v>
      </c>
      <c r="B9" s="5"/>
      <c r="C9" s="2"/>
      <c r="D9" s="2"/>
      <c r="E9" s="2"/>
      <c r="F9" s="2"/>
      <c r="G9" s="2"/>
      <c r="H9" s="2"/>
      <c r="I9" s="2"/>
      <c r="J9" s="1"/>
      <c r="K9" s="1"/>
      <c r="L9" s="2"/>
      <c r="M9" s="2"/>
      <c r="N9" s="2"/>
      <c r="O9" s="2"/>
      <c r="P9" s="2"/>
      <c r="Q9" s="2"/>
      <c r="R9" s="2"/>
      <c r="S9" s="1"/>
      <c r="T9" s="2"/>
      <c r="U9" s="1"/>
    </row>
    <row r="10" spans="1:21" x14ac:dyDescent="0.2">
      <c r="A10" s="4">
        <v>5</v>
      </c>
      <c r="B10" s="5"/>
      <c r="C10" s="2"/>
      <c r="D10" s="2"/>
      <c r="E10" s="2"/>
      <c r="F10" s="2"/>
      <c r="G10" s="2"/>
      <c r="H10" s="2"/>
      <c r="I10" s="2"/>
      <c r="J10" s="1"/>
      <c r="K10" s="1"/>
      <c r="L10" s="2"/>
      <c r="M10" s="2"/>
      <c r="N10" s="2"/>
      <c r="O10" s="2"/>
      <c r="P10" s="2"/>
      <c r="Q10" s="2"/>
      <c r="R10" s="2"/>
      <c r="S10" s="1"/>
      <c r="T10" s="2"/>
      <c r="U10" s="1"/>
    </row>
    <row r="11" spans="1:21" x14ac:dyDescent="0.2">
      <c r="A11" s="4">
        <v>6</v>
      </c>
      <c r="B11" s="5"/>
      <c r="C11" s="2"/>
      <c r="D11" s="2"/>
      <c r="E11" s="2"/>
      <c r="F11" s="2"/>
      <c r="G11" s="2"/>
      <c r="H11" s="2"/>
      <c r="I11" s="2"/>
      <c r="J11" s="1"/>
      <c r="K11" s="1"/>
      <c r="L11" s="2"/>
      <c r="M11" s="2"/>
      <c r="N11" s="2"/>
      <c r="O11" s="2"/>
      <c r="P11" s="2"/>
      <c r="Q11" s="2"/>
      <c r="R11" s="2"/>
      <c r="S11" s="1"/>
      <c r="T11" s="2"/>
      <c r="U11" s="1"/>
    </row>
    <row r="12" spans="1:21" x14ac:dyDescent="0.2">
      <c r="A12" s="4">
        <v>7</v>
      </c>
      <c r="B12" s="5"/>
      <c r="C12" s="2"/>
      <c r="D12" s="2"/>
      <c r="E12" s="2"/>
      <c r="F12" s="2"/>
      <c r="G12" s="2"/>
      <c r="H12" s="2"/>
      <c r="I12" s="2"/>
      <c r="J12" s="1"/>
      <c r="K12" s="1"/>
      <c r="L12" s="2"/>
      <c r="M12" s="2"/>
      <c r="N12" s="2"/>
      <c r="O12" s="2"/>
      <c r="P12" s="2"/>
      <c r="Q12" s="2"/>
      <c r="R12" s="2"/>
      <c r="S12" s="1"/>
      <c r="T12" s="2"/>
      <c r="U12" s="1"/>
    </row>
    <row r="13" spans="1:21" x14ac:dyDescent="0.2">
      <c r="A13" s="4">
        <v>8</v>
      </c>
      <c r="B13" s="5"/>
      <c r="C13" s="2"/>
      <c r="D13" s="2"/>
      <c r="E13" s="2"/>
      <c r="F13" s="2"/>
      <c r="G13" s="2"/>
      <c r="H13" s="2"/>
      <c r="I13" s="2"/>
      <c r="J13" s="1"/>
      <c r="K13" s="1"/>
      <c r="L13" s="2"/>
      <c r="M13" s="2"/>
      <c r="N13" s="2"/>
      <c r="O13" s="2"/>
      <c r="P13" s="2"/>
      <c r="Q13" s="2"/>
      <c r="R13" s="2"/>
      <c r="S13" s="1"/>
      <c r="T13" s="2"/>
      <c r="U13" s="1"/>
    </row>
    <row r="14" spans="1:21" x14ac:dyDescent="0.2">
      <c r="A14" s="4">
        <v>9</v>
      </c>
      <c r="B14" s="5"/>
      <c r="C14" s="2"/>
      <c r="D14" s="2"/>
      <c r="E14" s="2"/>
      <c r="F14" s="2"/>
      <c r="G14" s="2"/>
      <c r="H14" s="2"/>
      <c r="I14" s="2"/>
      <c r="J14" s="1"/>
      <c r="K14" s="1"/>
      <c r="L14" s="2"/>
      <c r="M14" s="2"/>
      <c r="N14" s="2"/>
      <c r="O14" s="2"/>
      <c r="P14" s="2"/>
      <c r="Q14" s="2"/>
      <c r="R14" s="2"/>
      <c r="S14" s="1"/>
      <c r="T14" s="2"/>
      <c r="U14" s="1"/>
    </row>
    <row r="15" spans="1:21" x14ac:dyDescent="0.2">
      <c r="A15" s="4">
        <v>10</v>
      </c>
      <c r="B15" s="5"/>
      <c r="C15" s="2"/>
      <c r="D15" s="2"/>
      <c r="E15" s="2"/>
      <c r="F15" s="2"/>
      <c r="G15" s="2"/>
      <c r="H15" s="2"/>
      <c r="I15" s="2"/>
      <c r="J15" s="1"/>
      <c r="K15" s="1"/>
      <c r="L15" s="2"/>
      <c r="M15" s="2"/>
      <c r="N15" s="2"/>
      <c r="O15" s="2"/>
      <c r="P15" s="2"/>
      <c r="Q15" s="2"/>
      <c r="R15" s="2"/>
      <c r="S15" s="1"/>
      <c r="T15" s="2"/>
      <c r="U15" s="1"/>
    </row>
    <row r="16" spans="1:21" x14ac:dyDescent="0.2">
      <c r="A16" s="4">
        <v>11</v>
      </c>
      <c r="B16" s="5"/>
      <c r="C16" s="2"/>
      <c r="D16" s="2"/>
      <c r="E16" s="2"/>
      <c r="F16" s="2"/>
      <c r="G16" s="2"/>
      <c r="H16" s="2"/>
      <c r="I16" s="2"/>
      <c r="J16" s="1"/>
      <c r="K16" s="1"/>
      <c r="L16" s="2"/>
      <c r="M16" s="2"/>
      <c r="N16" s="2"/>
      <c r="O16" s="2"/>
      <c r="P16" s="2"/>
      <c r="Q16" s="2"/>
      <c r="R16" s="2"/>
      <c r="S16" s="1"/>
      <c r="T16" s="2"/>
      <c r="U16" s="1"/>
    </row>
    <row r="17" spans="1:21" x14ac:dyDescent="0.2">
      <c r="A17" s="4">
        <v>12</v>
      </c>
      <c r="B17" s="5"/>
      <c r="C17" s="1"/>
      <c r="D17" s="1"/>
      <c r="E17" s="1"/>
      <c r="F17" s="1"/>
      <c r="G17" s="1"/>
      <c r="H17" s="1"/>
      <c r="I17" s="1"/>
      <c r="J17" s="1"/>
      <c r="K17" s="1"/>
      <c r="L17" s="1"/>
      <c r="M17" s="1"/>
      <c r="N17" s="1"/>
      <c r="O17" s="1"/>
      <c r="P17" s="1"/>
      <c r="Q17" s="1"/>
      <c r="R17" s="1"/>
      <c r="S17" s="1"/>
      <c r="T17" s="1"/>
      <c r="U17" s="1"/>
    </row>
    <row r="18" spans="1:21" x14ac:dyDescent="0.2">
      <c r="A18" s="4">
        <v>13</v>
      </c>
      <c r="B18" s="5"/>
      <c r="C18" s="1"/>
      <c r="D18" s="1"/>
      <c r="E18" s="1"/>
      <c r="F18" s="1"/>
      <c r="G18" s="1"/>
      <c r="H18" s="1"/>
      <c r="I18" s="1"/>
      <c r="J18" s="1"/>
      <c r="K18" s="1"/>
      <c r="L18" s="1"/>
      <c r="M18" s="1"/>
      <c r="N18" s="1"/>
      <c r="O18" s="1"/>
      <c r="P18" s="1"/>
      <c r="Q18" s="1"/>
      <c r="R18" s="1"/>
      <c r="S18" s="1"/>
      <c r="T18" s="1"/>
      <c r="U18" s="1"/>
    </row>
    <row r="19" spans="1:21" x14ac:dyDescent="0.2">
      <c r="A19" s="4">
        <v>14</v>
      </c>
      <c r="B19" s="5"/>
      <c r="C19" s="1"/>
      <c r="D19" s="1"/>
      <c r="E19" s="1"/>
      <c r="F19" s="1"/>
      <c r="G19" s="1"/>
      <c r="H19" s="1"/>
      <c r="I19" s="1"/>
      <c r="J19" s="1"/>
      <c r="K19" s="1"/>
      <c r="L19" s="1"/>
      <c r="M19" s="1"/>
      <c r="N19" s="1"/>
      <c r="O19" s="1"/>
      <c r="P19" s="1"/>
      <c r="Q19" s="1"/>
      <c r="R19" s="1"/>
      <c r="S19" s="1"/>
      <c r="T19" s="1"/>
      <c r="U19" s="1"/>
    </row>
    <row r="20" spans="1:21" x14ac:dyDescent="0.2">
      <c r="A20" s="4">
        <v>15</v>
      </c>
      <c r="B20" s="5"/>
      <c r="C20" s="1"/>
      <c r="D20" s="1"/>
      <c r="E20" s="1"/>
      <c r="F20" s="1"/>
      <c r="G20" s="1"/>
      <c r="H20" s="1"/>
      <c r="I20" s="1"/>
      <c r="J20" s="1"/>
      <c r="K20" s="1"/>
      <c r="L20" s="1"/>
      <c r="M20" s="1"/>
      <c r="N20" s="1"/>
      <c r="O20" s="1"/>
      <c r="P20" s="1"/>
      <c r="Q20" s="1"/>
      <c r="R20" s="1"/>
      <c r="S20" s="1"/>
      <c r="T20" s="1"/>
      <c r="U20" s="1"/>
    </row>
    <row r="21" spans="1:21" x14ac:dyDescent="0.2">
      <c r="A21" s="4">
        <v>16</v>
      </c>
      <c r="B21" s="5"/>
      <c r="C21" s="1"/>
      <c r="D21" s="1"/>
      <c r="E21" s="1"/>
      <c r="F21" s="1"/>
      <c r="G21" s="1"/>
      <c r="H21" s="1"/>
      <c r="I21" s="1"/>
      <c r="J21" s="1"/>
      <c r="K21" s="1"/>
      <c r="L21" s="1"/>
      <c r="M21" s="1"/>
      <c r="N21" s="1"/>
      <c r="O21" s="1"/>
      <c r="P21" s="1"/>
      <c r="Q21" s="1"/>
      <c r="R21" s="1"/>
      <c r="S21" s="1"/>
      <c r="T21" s="1"/>
      <c r="U21" s="1"/>
    </row>
    <row r="22" spans="1:21" x14ac:dyDescent="0.2">
      <c r="A22" s="4">
        <v>17</v>
      </c>
      <c r="B22" s="5"/>
      <c r="C22" s="1"/>
      <c r="D22" s="1"/>
      <c r="E22" s="1"/>
      <c r="F22" s="1"/>
      <c r="G22" s="1"/>
      <c r="H22" s="1"/>
      <c r="I22" s="1"/>
      <c r="J22" s="1"/>
      <c r="K22" s="1"/>
      <c r="L22" s="1"/>
      <c r="M22" s="1"/>
      <c r="N22" s="1"/>
      <c r="O22" s="1"/>
      <c r="P22" s="1"/>
      <c r="Q22" s="1"/>
      <c r="R22" s="1"/>
      <c r="S22" s="1"/>
      <c r="T22" s="1"/>
      <c r="U22" s="1"/>
    </row>
    <row r="23" spans="1:21" x14ac:dyDescent="0.2">
      <c r="A23" s="4">
        <v>18</v>
      </c>
      <c r="B23" s="5"/>
      <c r="C23" s="1"/>
      <c r="D23" s="1"/>
      <c r="E23" s="1"/>
      <c r="F23" s="1"/>
      <c r="G23" s="1"/>
      <c r="H23" s="1"/>
      <c r="I23" s="1"/>
      <c r="J23" s="1"/>
      <c r="K23" s="1"/>
      <c r="L23" s="1"/>
      <c r="M23" s="1"/>
      <c r="N23" s="1"/>
      <c r="O23" s="1"/>
      <c r="P23" s="1"/>
      <c r="Q23" s="1"/>
      <c r="R23" s="1"/>
      <c r="S23" s="1"/>
      <c r="T23" s="1"/>
      <c r="U23" s="1"/>
    </row>
    <row r="24" spans="1:21" x14ac:dyDescent="0.2">
      <c r="A24" s="4">
        <v>19</v>
      </c>
      <c r="B24" s="5"/>
      <c r="C24" s="1"/>
      <c r="D24" s="1"/>
      <c r="E24" s="1"/>
      <c r="F24" s="1"/>
      <c r="G24" s="1"/>
      <c r="H24" s="1"/>
      <c r="I24" s="1"/>
      <c r="J24" s="1"/>
      <c r="K24" s="1"/>
      <c r="L24" s="1"/>
      <c r="M24" s="1"/>
      <c r="N24" s="1"/>
      <c r="O24" s="1"/>
      <c r="P24" s="1"/>
      <c r="Q24" s="1"/>
      <c r="R24" s="1"/>
      <c r="S24" s="1"/>
      <c r="T24" s="1"/>
      <c r="U24" s="1"/>
    </row>
    <row r="25" spans="1:21" x14ac:dyDescent="0.2">
      <c r="A25" s="4">
        <v>20</v>
      </c>
      <c r="B25" s="5"/>
      <c r="C25" s="1"/>
      <c r="D25" s="1"/>
      <c r="E25" s="1"/>
      <c r="F25" s="1"/>
      <c r="G25" s="1"/>
      <c r="H25" s="1"/>
      <c r="I25" s="1"/>
      <c r="J25" s="1"/>
      <c r="K25" s="1"/>
      <c r="L25" s="1"/>
      <c r="M25" s="1"/>
      <c r="N25" s="1"/>
      <c r="O25" s="1"/>
      <c r="P25" s="1"/>
      <c r="Q25" s="1"/>
      <c r="R25" s="1"/>
      <c r="S25" s="1"/>
      <c r="T25" s="1"/>
      <c r="U25" s="1"/>
    </row>
    <row r="28" spans="1:21" x14ac:dyDescent="0.2">
      <c r="C28" s="12"/>
      <c r="D28" t="s">
        <v>504</v>
      </c>
    </row>
    <row r="29" spans="1:21" x14ac:dyDescent="0.2">
      <c r="C29" s="13"/>
      <c r="D29" t="s">
        <v>24</v>
      </c>
    </row>
  </sheetData>
  <mergeCells count="1">
    <mergeCell ref="M4:U4"/>
  </mergeCells>
  <dataValidations count="2">
    <dataValidation type="list" allowBlank="1" showInputMessage="1" showErrorMessage="1" sqref="J6:J25" xr:uid="{00000000-0002-0000-0200-000000000000}">
      <formula1>"En preparación, Enviado, Aceptado, En prensa, Publicado"</formula1>
    </dataValidation>
    <dataValidation type="list" allowBlank="1" showInputMessage="1" showErrorMessage="1" sqref="B6:B25" xr:uid="{00000000-0002-0000-0200-000001000000}">
      <formula1>"1, 2, 3, 4, 5, PP"</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11</vt:i4>
      </vt:variant>
    </vt:vector>
  </HeadingPairs>
  <TitlesOfParts>
    <vt:vector size="11" baseType="lpstr">
      <vt:lpstr>Presupuestos</vt:lpstr>
      <vt:lpstr>Resumen publicaciones</vt:lpstr>
      <vt:lpstr>Resumen publ por WP</vt:lpstr>
      <vt:lpstr>Publicaciones año 4-2026</vt:lpstr>
      <vt:lpstr> Publicaciones año 3</vt:lpstr>
      <vt:lpstr> Publicaciones año 2</vt:lpstr>
      <vt:lpstr> Publicaciones año 1</vt:lpstr>
      <vt:lpstr>Otras Publicaciones</vt:lpstr>
      <vt:lpstr>Capítulos de Libros </vt:lpstr>
      <vt:lpstr>Info Avance 2024 ANID</vt:lpstr>
      <vt:lpstr>Libros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Roa Strauch</dc:creator>
  <cp:keywords/>
  <dc:description/>
  <cp:lastModifiedBy>Bruno Nervi Nattero</cp:lastModifiedBy>
  <cp:revision/>
  <cp:lastPrinted>2025-10-16T17:50:06Z</cp:lastPrinted>
  <dcterms:created xsi:type="dcterms:W3CDTF">2023-04-18T12:08:09Z</dcterms:created>
  <dcterms:modified xsi:type="dcterms:W3CDTF">2025-11-13T05:41:49Z</dcterms:modified>
  <cp:category/>
  <cp:contentStatus/>
</cp:coreProperties>
</file>